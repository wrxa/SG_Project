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生物质发电--乌克兰6MW中温中压\20170717\乌克兰生物质项目群\乌克兰奥列夫斯克电站技术文件翻译\"/>
    </mc:Choice>
  </mc:AlternateContent>
  <bookViews>
    <workbookView xWindow="0" yWindow="0" windowWidth="22950" windowHeight="10875" tabRatio="783" activeTab="2"/>
  </bookViews>
  <sheets>
    <sheet name="Vt" sheetId="22" r:id="rId1"/>
    <sheet name="P" sheetId="21" r:id="rId2"/>
    <sheet name="F" sheetId="18" r:id="rId3"/>
    <sheet name="List1" sheetId="28" r:id="rId4"/>
  </sheets>
  <functionGroups builtInGroupCount="18"/>
  <calcPr calcId="152511"/>
</workbook>
</file>

<file path=xl/calcChain.xml><?xml version="1.0" encoding="utf-8"?>
<calcChain xmlns="http://schemas.openxmlformats.org/spreadsheetml/2006/main">
  <c r="F53" i="28" l="1"/>
  <c r="E53" i="28"/>
  <c r="F47" i="28"/>
  <c r="E47" i="28"/>
  <c r="F43" i="28"/>
  <c r="F44" i="28" s="1"/>
  <c r="E43" i="28"/>
  <c r="E44" i="28" s="1"/>
  <c r="F31" i="28"/>
  <c r="E31" i="28"/>
  <c r="F22" i="28"/>
  <c r="F39" i="28" s="1"/>
  <c r="E22" i="28"/>
  <c r="E39" i="28" s="1"/>
  <c r="C81" i="22"/>
  <c r="C82" i="22" s="1"/>
  <c r="D80" i="22"/>
  <c r="C80" i="22"/>
  <c r="C62" i="22"/>
  <c r="C61" i="22"/>
  <c r="B61" i="22"/>
  <c r="A36" i="22"/>
  <c r="A37" i="22" s="1"/>
  <c r="A38" i="22" s="1"/>
  <c r="A39" i="22" s="1"/>
  <c r="A40" i="22" s="1"/>
  <c r="A41" i="22" s="1"/>
  <c r="A42" i="22" s="1"/>
  <c r="A43" i="22" s="1"/>
  <c r="A44" i="22" s="1"/>
  <c r="A45" i="22" s="1"/>
  <c r="A35" i="22"/>
  <c r="B30" i="22"/>
  <c r="A12" i="22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B7" i="22"/>
  <c r="E15" i="22"/>
  <c r="B12" i="22"/>
  <c r="F112" i="18"/>
  <c r="F104" i="18"/>
  <c r="F98" i="18"/>
  <c r="F94" i="18"/>
  <c r="F86" i="18"/>
  <c r="F79" i="18"/>
  <c r="F75" i="18"/>
  <c r="F70" i="18"/>
  <c r="F65" i="18"/>
  <c r="F61" i="18"/>
  <c r="F56" i="18"/>
  <c r="F52" i="18"/>
  <c r="F48" i="18"/>
  <c r="F44" i="18"/>
  <c r="F39" i="18"/>
  <c r="F34" i="18"/>
  <c r="F30" i="18"/>
  <c r="F25" i="18"/>
  <c r="F21" i="18"/>
  <c r="F16" i="18"/>
  <c r="F11" i="18"/>
  <c r="C29" i="21"/>
  <c r="C23" i="21"/>
  <c r="C15" i="21"/>
  <c r="C12" i="21"/>
  <c r="C10" i="21"/>
  <c r="B81" i="22"/>
  <c r="F80" i="22"/>
  <c r="B80" i="22"/>
  <c r="F61" i="22"/>
  <c r="E62" i="22" s="1"/>
  <c r="H45" i="22"/>
  <c r="D45" i="22"/>
  <c r="K44" i="22"/>
  <c r="C44" i="22"/>
  <c r="J43" i="22"/>
  <c r="F43" i="22"/>
  <c r="B43" i="22"/>
  <c r="I42" i="22"/>
  <c r="E42" i="22"/>
  <c r="H41" i="22"/>
  <c r="D41" i="22"/>
  <c r="K40" i="22"/>
  <c r="C40" i="22"/>
  <c r="J39" i="22"/>
  <c r="F39" i="22"/>
  <c r="B39" i="22"/>
  <c r="I38" i="22"/>
  <c r="E38" i="22"/>
  <c r="H37" i="22"/>
  <c r="D37" i="22"/>
  <c r="K36" i="22"/>
  <c r="C36" i="22"/>
  <c r="J35" i="22"/>
  <c r="F35" i="22"/>
  <c r="B35" i="22"/>
  <c r="J22" i="22"/>
  <c r="B22" i="22"/>
  <c r="E21" i="22"/>
  <c r="D20" i="22"/>
  <c r="J18" i="22"/>
  <c r="I17" i="22"/>
  <c r="D16" i="22"/>
  <c r="C15" i="22"/>
  <c r="F111" i="18"/>
  <c r="F103" i="18"/>
  <c r="F97" i="18"/>
  <c r="F91" i="18"/>
  <c r="F85" i="18"/>
  <c r="F78" i="18"/>
  <c r="F73" i="18"/>
  <c r="F69" i="18"/>
  <c r="F64" i="18"/>
  <c r="F60" i="18"/>
  <c r="F55" i="18"/>
  <c r="F51" i="18"/>
  <c r="F47" i="18"/>
  <c r="F42" i="18"/>
  <c r="F38" i="18"/>
  <c r="F33" i="18"/>
  <c r="F29" i="18"/>
  <c r="F24" i="18"/>
  <c r="F20" i="18"/>
  <c r="F15" i="18"/>
  <c r="F10" i="18"/>
  <c r="G28" i="21"/>
  <c r="G26" i="21"/>
  <c r="G24" i="21"/>
  <c r="G22" i="21"/>
  <c r="G16" i="21"/>
  <c r="G14" i="21"/>
  <c r="G11" i="21"/>
  <c r="G8" i="21"/>
  <c r="E81" i="22"/>
  <c r="E80" i="22"/>
  <c r="D62" i="22"/>
  <c r="E61" i="22"/>
  <c r="K45" i="22"/>
  <c r="C45" i="22"/>
  <c r="J44" i="22"/>
  <c r="F44" i="22"/>
  <c r="B44" i="22"/>
  <c r="I43" i="22"/>
  <c r="E43" i="22"/>
  <c r="H42" i="22"/>
  <c r="D42" i="22"/>
  <c r="K41" i="22"/>
  <c r="C41" i="22"/>
  <c r="J40" i="22"/>
  <c r="F40" i="22"/>
  <c r="B40" i="22"/>
  <c r="I39" i="22"/>
  <c r="E39" i="22"/>
  <c r="H38" i="22"/>
  <c r="D38" i="22"/>
  <c r="K37" i="22"/>
  <c r="C37" i="22"/>
  <c r="J36" i="22"/>
  <c r="F36" i="22"/>
  <c r="B36" i="22"/>
  <c r="I35" i="22"/>
  <c r="E35" i="22"/>
  <c r="I22" i="22"/>
  <c r="E22" i="22"/>
  <c r="H21" i="22"/>
  <c r="D21" i="22"/>
  <c r="K20" i="22"/>
  <c r="C20" i="22"/>
  <c r="J19" i="22"/>
  <c r="F19" i="22"/>
  <c r="B19" i="22"/>
  <c r="I18" i="22"/>
  <c r="E18" i="22"/>
  <c r="H17" i="22"/>
  <c r="E33" i="28"/>
  <c r="E24" i="28"/>
  <c r="E17" i="28"/>
  <c r="F106" i="18"/>
  <c r="F99" i="18"/>
  <c r="F95" i="18"/>
  <c r="F87" i="18"/>
  <c r="F80" i="18"/>
  <c r="F76" i="18"/>
  <c r="F71" i="18"/>
  <c r="F67" i="18"/>
  <c r="F62" i="18"/>
  <c r="F57" i="18"/>
  <c r="F53" i="18"/>
  <c r="F45" i="18"/>
  <c r="F40" i="18"/>
  <c r="F36" i="18"/>
  <c r="F31" i="18"/>
  <c r="F26" i="18"/>
  <c r="F22" i="18"/>
  <c r="F18" i="18"/>
  <c r="F12" i="18"/>
  <c r="G29" i="21"/>
  <c r="G25" i="21"/>
  <c r="G23" i="21"/>
  <c r="G15" i="21"/>
  <c r="G12" i="21"/>
  <c r="G10" i="21"/>
  <c r="G80" i="22"/>
  <c r="F62" i="22"/>
  <c r="B62" i="22"/>
  <c r="I45" i="22"/>
  <c r="E45" i="22"/>
  <c r="H44" i="22"/>
  <c r="D44" i="22"/>
  <c r="K43" i="22"/>
  <c r="C43" i="22"/>
  <c r="J42" i="22"/>
  <c r="F42" i="22"/>
  <c r="B42" i="22"/>
  <c r="I41" i="22"/>
  <c r="E41" i="22"/>
  <c r="H40" i="22"/>
  <c r="D40" i="22"/>
  <c r="K39" i="22"/>
  <c r="C39" i="22"/>
  <c r="J38" i="22"/>
  <c r="F38" i="22"/>
  <c r="B38" i="22"/>
  <c r="I37" i="22"/>
  <c r="E37" i="22"/>
  <c r="H36" i="22"/>
  <c r="D36" i="22"/>
  <c r="K35" i="22"/>
  <c r="C35" i="22"/>
  <c r="K22" i="22"/>
  <c r="C22" i="22"/>
  <c r="J21" i="22"/>
  <c r="F21" i="22"/>
  <c r="B21" i="22"/>
  <c r="I20" i="22"/>
  <c r="E20" i="22"/>
  <c r="H19" i="22"/>
  <c r="D19" i="22"/>
  <c r="K18" i="22"/>
  <c r="C18" i="22"/>
  <c r="J17" i="22"/>
  <c r="F17" i="22"/>
  <c r="B17" i="22"/>
  <c r="I16" i="22"/>
  <c r="E16" i="22"/>
  <c r="H15" i="22"/>
  <c r="D15" i="22"/>
  <c r="K14" i="22"/>
  <c r="C14" i="22"/>
  <c r="J13" i="22"/>
  <c r="F13" i="22"/>
  <c r="B13" i="22"/>
  <c r="I12" i="22"/>
  <c r="E12" i="22"/>
  <c r="F22" i="22"/>
  <c r="I21" i="22"/>
  <c r="H20" i="22"/>
  <c r="K19" i="22"/>
  <c r="C19" i="22"/>
  <c r="F18" i="22"/>
  <c r="B18" i="22"/>
  <c r="E17" i="22"/>
  <c r="H16" i="22"/>
  <c r="K15" i="22"/>
  <c r="J14" i="22"/>
  <c r="F17" i="28"/>
  <c r="F90" i="18"/>
  <c r="F68" i="18"/>
  <c r="F32" i="18"/>
  <c r="F14" i="18"/>
  <c r="C24" i="21"/>
  <c r="C11" i="21"/>
  <c r="F45" i="22"/>
  <c r="H39" i="22"/>
  <c r="D22" i="22"/>
  <c r="C16" i="22"/>
  <c r="D13" i="22"/>
  <c r="F24" i="28"/>
  <c r="F107" i="18"/>
  <c r="F81" i="18"/>
  <c r="F63" i="18"/>
  <c r="F46" i="18"/>
  <c r="F28" i="18"/>
  <c r="F9" i="18"/>
  <c r="C22" i="21"/>
  <c r="C25" i="21" s="1"/>
  <c r="C8" i="21"/>
  <c r="D81" i="22"/>
  <c r="G62" i="22"/>
  <c r="B45" i="22"/>
  <c r="H43" i="22"/>
  <c r="C42" i="22"/>
  <c r="I40" i="22"/>
  <c r="D39" i="22"/>
  <c r="J37" i="22"/>
  <c r="K21" i="22"/>
  <c r="F20" i="22"/>
  <c r="B16" i="22"/>
  <c r="B14" i="22"/>
  <c r="H12" i="22"/>
  <c r="F33" i="28"/>
  <c r="F77" i="18"/>
  <c r="F23" i="18"/>
  <c r="I61" i="22"/>
  <c r="J41" i="22"/>
  <c r="B20" i="22"/>
  <c r="D17" i="22"/>
  <c r="J15" i="22"/>
  <c r="F14" i="22"/>
  <c r="F96" i="18"/>
  <c r="F72" i="18"/>
  <c r="F54" i="18"/>
  <c r="F37" i="18"/>
  <c r="F19" i="18"/>
  <c r="C26" i="21"/>
  <c r="C14" i="21"/>
  <c r="H61" i="22"/>
  <c r="J45" i="22"/>
  <c r="E44" i="22"/>
  <c r="K42" i="22"/>
  <c r="F41" i="22"/>
  <c r="B37" i="22"/>
  <c r="H35" i="22"/>
  <c r="H22" i="22"/>
  <c r="C21" i="22"/>
  <c r="I19" i="22"/>
  <c r="D18" i="22"/>
  <c r="C17" i="22"/>
  <c r="F16" i="22"/>
  <c r="I15" i="22"/>
  <c r="E14" i="22"/>
  <c r="K13" i="22"/>
  <c r="E13" i="22"/>
  <c r="K12" i="22"/>
  <c r="F12" i="22"/>
  <c r="D61" i="22"/>
  <c r="G61" i="22" s="1"/>
  <c r="B41" i="22"/>
  <c r="C38" i="22"/>
  <c r="I36" i="22"/>
  <c r="D35" i="22"/>
  <c r="J20" i="22"/>
  <c r="E19" i="22"/>
  <c r="K17" i="22"/>
  <c r="K16" i="22"/>
  <c r="F15" i="22"/>
  <c r="I14" i="22"/>
  <c r="D14" i="22"/>
  <c r="I13" i="22"/>
  <c r="J12" i="22"/>
  <c r="D12" i="22"/>
  <c r="E36" i="22"/>
  <c r="J16" i="22"/>
  <c r="H14" i="22"/>
  <c r="H13" i="22"/>
  <c r="C13" i="22"/>
  <c r="C12" i="22"/>
  <c r="F100" i="18"/>
  <c r="F59" i="18"/>
  <c r="F41" i="18"/>
  <c r="C28" i="21"/>
  <c r="C16" i="21"/>
  <c r="I44" i="22"/>
  <c r="D43" i="22"/>
  <c r="E40" i="22"/>
  <c r="K38" i="22"/>
  <c r="F37" i="22"/>
  <c r="H18" i="22"/>
  <c r="B15" i="22"/>
  <c r="G81" i="22"/>
  <c r="F81" i="22"/>
  <c r="G37" i="22" l="1"/>
  <c r="G15" i="22"/>
  <c r="D63" i="22"/>
  <c r="C65" i="22"/>
  <c r="C66" i="22" s="1"/>
  <c r="G12" i="22"/>
  <c r="G16" i="22"/>
  <c r="G41" i="22"/>
  <c r="C17" i="21"/>
  <c r="C27" i="21"/>
  <c r="G14" i="22"/>
  <c r="J61" i="22"/>
  <c r="G20" i="22"/>
  <c r="G45" i="22"/>
  <c r="G18" i="22"/>
  <c r="G22" i="22"/>
  <c r="G13" i="22"/>
  <c r="G17" i="22"/>
  <c r="G21" i="22"/>
  <c r="G38" i="22"/>
  <c r="G42" i="22"/>
  <c r="D49" i="18"/>
  <c r="G19" i="22"/>
  <c r="G36" i="22"/>
  <c r="G40" i="22"/>
  <c r="G44" i="22"/>
  <c r="G17" i="21"/>
  <c r="G27" i="21"/>
  <c r="G35" i="22"/>
  <c r="G39" i="22"/>
  <c r="G43" i="22"/>
  <c r="D82" i="22"/>
  <c r="C63" i="22"/>
  <c r="C84" i="22"/>
  <c r="C85" i="22" s="1"/>
  <c r="G63" i="22"/>
  <c r="B63" i="22"/>
  <c r="H63" i="22" s="1"/>
  <c r="F63" i="22"/>
  <c r="E63" i="22"/>
  <c r="G82" i="22"/>
  <c r="E82" i="22"/>
  <c r="B82" i="22"/>
  <c r="F82" i="22"/>
  <c r="F49" i="18"/>
  <c r="I81" i="22"/>
  <c r="I63" i="22"/>
  <c r="I82" i="22"/>
  <c r="I80" i="22"/>
  <c r="I62" i="22"/>
  <c r="J62" i="22" l="1"/>
  <c r="J80" i="22"/>
  <c r="J82" i="22"/>
  <c r="J63" i="22"/>
  <c r="J81" i="22"/>
</calcChain>
</file>

<file path=xl/sharedStrings.xml><?xml version="1.0" encoding="utf-8"?>
<sst xmlns="http://schemas.openxmlformats.org/spreadsheetml/2006/main" count="715" uniqueCount="366">
  <si>
    <t>Bude se zadávat teplota</t>
  </si>
  <si>
    <t>Zadej teplotu [°C]</t>
  </si>
  <si>
    <t>Varování</t>
  </si>
  <si>
    <t>Teplota [°C]</t>
  </si>
  <si>
    <t>Tlak [bar]</t>
  </si>
  <si>
    <t>Měrný objem nasycené kapaliny v' [m3/kg]</t>
  </si>
  <si>
    <t>Měrný objem nasycené páry v'' [m3/kg]</t>
  </si>
  <si>
    <t>Entalpie nasycené kapaliny h' [kJ/kg]</t>
  </si>
  <si>
    <t>Entalpie nasycené páry h'' [kJ/kg]</t>
  </si>
  <si>
    <t>r [kJ/kg]</t>
  </si>
  <si>
    <t>Entropie nasycené kapaliny s' [kJ/kgK]</t>
  </si>
  <si>
    <t>Entropie nasycené páry s'' [kJ/kgK]</t>
  </si>
  <si>
    <t>Tepelná kapacita nasycené kapaliny cp' [kJ/kgK]</t>
  </si>
  <si>
    <t>Tepelná kapacita nasycené páry cp'' [kJ/kgK]</t>
  </si>
  <si>
    <t>Zadej tlak [bar]</t>
  </si>
  <si>
    <t>KOMPRESE A EXPANZE VODY A VODNÍ PÁRY</t>
  </si>
  <si>
    <t>Typ výpočtu (T1, P1, P2, Etaiz) - Stav v přehřáté páře</t>
  </si>
  <si>
    <t>Zadej T1 [°C]</t>
  </si>
  <si>
    <t>Zadej P1 [bar]</t>
  </si>
  <si>
    <t>Zadej P2  [bar]</t>
  </si>
  <si>
    <t>Zadej Etaiz [-]</t>
  </si>
  <si>
    <t>P [bar]</t>
  </si>
  <si>
    <t>H [kJ/kg]</t>
  </si>
  <si>
    <t>V [m3/kg]</t>
  </si>
  <si>
    <t>S [kJ/kgK]</t>
  </si>
  <si>
    <t>X [%]</t>
  </si>
  <si>
    <t>Cp [kJ/kgK]</t>
  </si>
  <si>
    <t>IF97 Region</t>
  </si>
  <si>
    <t>Fáze</t>
  </si>
  <si>
    <t>2iz</t>
  </si>
  <si>
    <t>Izoentropický spád [kJ/kg]</t>
  </si>
  <si>
    <t>Skutečný spád [kJ/kg]</t>
  </si>
  <si>
    <t>Typ výpočtu (H1, P1, P2, Etaiz)</t>
  </si>
  <si>
    <t>Zadej H1 [kJ/kg]</t>
  </si>
  <si>
    <t>Zadej P2 [bar]</t>
  </si>
  <si>
    <t>X Steam Tables</t>
  </si>
  <si>
    <t xml:space="preserve">Excel macros, IF-97 Steam tables. </t>
  </si>
  <si>
    <t>The excel scripts are stored inside this workbook. A complete list of functions for use is available on the "Calling functions" worksheet</t>
  </si>
  <si>
    <t>By: Magnus Holmgren</t>
  </si>
  <si>
    <t>The steam tables are free and provided as is. We take no responsibilities for any errors in the code or damage thereby.</t>
  </si>
  <si>
    <t>www.x-eng.com</t>
  </si>
  <si>
    <t>OBS: This workbook uses macros. Set security options in Tools:Macro:Security… to enable macros.</t>
  </si>
  <si>
    <t>Saturation properties given temperature</t>
  </si>
  <si>
    <t>Saturation properties given pressure</t>
  </si>
  <si>
    <t>Temperature</t>
  </si>
  <si>
    <t>°C</t>
  </si>
  <si>
    <t>Pressure</t>
  </si>
  <si>
    <t>bar a</t>
  </si>
  <si>
    <t>Saturation pressure</t>
  </si>
  <si>
    <t>Saturation temperature</t>
  </si>
  <si>
    <t>Liquid</t>
  </si>
  <si>
    <t>Enthalpy</t>
  </si>
  <si>
    <t>kJ/kg</t>
  </si>
  <si>
    <t>Density</t>
  </si>
  <si>
    <t>kg/m3</t>
  </si>
  <si>
    <t>Entropy</t>
  </si>
  <si>
    <t>kJ/kgK</t>
  </si>
  <si>
    <t>Vapour</t>
  </si>
  <si>
    <t>Vapour enthalpy</t>
  </si>
  <si>
    <t>Vapour density</t>
  </si>
  <si>
    <t>Vapour Entropy</t>
  </si>
  <si>
    <t>vapour Entropy</t>
  </si>
  <si>
    <t>Evaporation energy</t>
  </si>
  <si>
    <t>Properties given pressure and temperature</t>
  </si>
  <si>
    <t>Properties given pressure and enthalpy</t>
  </si>
  <si>
    <t>Vapour fraction</t>
  </si>
  <si>
    <t>%</t>
  </si>
  <si>
    <t>Phase</t>
  </si>
  <si>
    <t xml:space="preserve">Isobaric heat capacity </t>
  </si>
  <si>
    <t>Speed of sound</t>
  </si>
  <si>
    <t>m/s</t>
  </si>
  <si>
    <t>v2.6</t>
  </si>
  <si>
    <t xml:space="preserve">Steam tables by Magnus Holmgren according to IAPWS IF-97 </t>
  </si>
  <si>
    <t>The excel scripts are stored inside this workbook. (No extra files are needed. Start from a copy of this workbook. This page can be removed)</t>
  </si>
  <si>
    <t>For error-reporting, feedback, other units etc. contact:</t>
  </si>
  <si>
    <t>magnus@x-eng.com</t>
  </si>
  <si>
    <t xml:space="preserve"> Tsat_p</t>
  </si>
  <si>
    <t>bar</t>
  </si>
  <si>
    <t xml:space="preserve"> T_ph</t>
  </si>
  <si>
    <t>Temperture as a function of pressure and enthalpy</t>
  </si>
  <si>
    <t xml:space="preserve"> T_ps</t>
  </si>
  <si>
    <t>kJ/(kg K)</t>
  </si>
  <si>
    <t>Temperture as a function of pressure and entropy</t>
  </si>
  <si>
    <t xml:space="preserve"> T_hs</t>
  </si>
  <si>
    <t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</si>
  <si>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</si>
  <si>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</si>
  <si>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</si>
  <si>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</si>
  <si>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>Pressure as a function of h and rho (density). Very unaccurate for solid water region since it's almost incompressible!</t>
  </si>
  <si>
    <t xml:space="preserve"> hV_p</t>
  </si>
  <si>
    <t>Saturated vapour enthalpy</t>
  </si>
  <si>
    <t xml:space="preserve"> hL_p</t>
  </si>
  <si>
    <t>Saturated liquid enthalpy</t>
  </si>
  <si>
    <t xml:space="preserve"> hV_T</t>
  </si>
  <si>
    <t xml:space="preserve"> hL_T</t>
  </si>
  <si>
    <t xml:space="preserve"> h_pT</t>
  </si>
  <si>
    <t>Entalpy as a function of pressure and temperature.</t>
  </si>
  <si>
    <t xml:space="preserve"> h_ps</t>
  </si>
  <si>
    <t>Entalpy as a function of pressure and entropy.</t>
  </si>
  <si>
    <t xml:space="preserve"> h_px</t>
  </si>
  <si>
    <t>Entalpy as a function of pressure and vapour fraction</t>
  </si>
  <si>
    <t xml:space="preserve"> h_Tx</t>
  </si>
  <si>
    <t>Entalpy as a function of temperature and vapour fraction</t>
  </si>
  <si>
    <t xml:space="preserve"> h_prho</t>
  </si>
  <si>
    <t>Entalpy as a function of pressure and density. Observe for low temperatures (liquid) this equation has 2 solutions. (Not valid!!)</t>
  </si>
  <si>
    <t>Specific volume</t>
  </si>
  <si>
    <t xml:space="preserve"> vV_p</t>
  </si>
  <si>
    <t>m3/kg</t>
  </si>
  <si>
    <t>Saturated vapour volume</t>
  </si>
  <si>
    <t xml:space="preserve"> vL_p</t>
  </si>
  <si>
    <t>Saturated liquid volume</t>
  </si>
  <si>
    <t xml:space="preserve"> vV_T</t>
  </si>
  <si>
    <t xml:space="preserve"> vL_T</t>
  </si>
  <si>
    <t xml:space="preserve"> v_pT</t>
  </si>
  <si>
    <t>Specific volume as a function of pressure and temperature.</t>
  </si>
  <si>
    <t xml:space="preserve"> v_ph</t>
  </si>
  <si>
    <t>Specific volume as a function of pressure and enthalpy</t>
  </si>
  <si>
    <t xml:space="preserve"> v_ps</t>
  </si>
  <si>
    <t>Specific volume as a function of pressure and entropy.</t>
  </si>
  <si>
    <t xml:space="preserve"> rhoV_p</t>
  </si>
  <si>
    <t>Saturated vapour density</t>
  </si>
  <si>
    <t xml:space="preserve"> rhoL_p</t>
  </si>
  <si>
    <t>Saturated liquid density</t>
  </si>
  <si>
    <t xml:space="preserve"> rhoV_T</t>
  </si>
  <si>
    <t xml:space="preserve"> rhoL_T</t>
  </si>
  <si>
    <t xml:space="preserve"> rho_pT</t>
  </si>
  <si>
    <t>Density as a function of pressure and temperature.</t>
  </si>
  <si>
    <t xml:space="preserve"> rho_ph</t>
  </si>
  <si>
    <t>Density as a function of pressure and enthalpy</t>
  </si>
  <si>
    <t xml:space="preserve"> rho_ps</t>
  </si>
  <si>
    <t>Density as a function of pressure and entropy.</t>
  </si>
  <si>
    <t xml:space="preserve">Specific entropy </t>
  </si>
  <si>
    <t xml:space="preserve"> sV_p</t>
  </si>
  <si>
    <t>Saturated vapour entropy</t>
  </si>
  <si>
    <t xml:space="preserve"> sL_p</t>
  </si>
  <si>
    <t>Saturated liquid entropy</t>
  </si>
  <si>
    <t xml:space="preserve"> sV_T</t>
  </si>
  <si>
    <t xml:space="preserve"> sL_T</t>
  </si>
  <si>
    <t xml:space="preserve"> s_pT</t>
  </si>
  <si>
    <t>Specific entropy as a function of pressure and temperature (Returns saturated vapour entalpy if mixture.)</t>
  </si>
  <si>
    <t xml:space="preserve"> s_ph</t>
  </si>
  <si>
    <t>Specific entropy as a function of pressure and enthalpy</t>
  </si>
  <si>
    <t xml:space="preserve">Specific internal energy </t>
  </si>
  <si>
    <t xml:space="preserve"> uV_p</t>
  </si>
  <si>
    <t>Saturated vapour internal energy</t>
  </si>
  <si>
    <t xml:space="preserve"> uL_p</t>
  </si>
  <si>
    <t>Saturated liquid internal energy</t>
  </si>
  <si>
    <t xml:space="preserve"> uV_T</t>
  </si>
  <si>
    <t xml:space="preserve"> uL_T</t>
  </si>
  <si>
    <t xml:space="preserve"> u_pT</t>
  </si>
  <si>
    <t>Specific internal energy as a function of pressure and temperature.</t>
  </si>
  <si>
    <t xml:space="preserve"> u_ph</t>
  </si>
  <si>
    <t>Specific internal energy as a function of pressure and enthalpy</t>
  </si>
  <si>
    <t xml:space="preserve"> u_ps</t>
  </si>
  <si>
    <t>Specific internal energy as a function of pressure and entropy.</t>
  </si>
  <si>
    <t xml:space="preserve">Specific isobaric heat capacity </t>
  </si>
  <si>
    <t xml:space="preserve"> CpV_p</t>
  </si>
  <si>
    <t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</si>
  <si>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</si>
  <si>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</si>
  <si>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</si>
  <si>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</si>
  <si>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</si>
  <si>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</si>
  <si>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>Specific isobaric heat capacity as a function of pressure and temperature.</t>
  </si>
  <si>
    <t xml:space="preserve"> Cp_ph</t>
  </si>
  <si>
    <t>Specific isobaric heat capacity as a function of pressure and enthalpy</t>
  </si>
  <si>
    <t xml:space="preserve"> Cp_ps</t>
  </si>
  <si>
    <t>Specific isobaric heat capacity as a function of pressure and entropy.</t>
  </si>
  <si>
    <t xml:space="preserve">Specific isochoric heat capacity </t>
  </si>
  <si>
    <t xml:space="preserve"> CvV_p</t>
  </si>
  <si>
    <t>Saturated vapour isochoric heat capacity</t>
  </si>
  <si>
    <t xml:space="preserve"> CvL_p</t>
  </si>
  <si>
    <t>Saturated liquid isochoric heat capacity</t>
  </si>
  <si>
    <t xml:space="preserve"> CvV_T</t>
  </si>
  <si>
    <t xml:space="preserve"> CvL_T</t>
  </si>
  <si>
    <t xml:space="preserve"> Cv_pT</t>
  </si>
  <si>
    <t>Specific isochoric heat capacity as a function of pressure and temperature.</t>
  </si>
  <si>
    <t xml:space="preserve"> Cv_ph</t>
  </si>
  <si>
    <t>Specific isochoric heat capacity as a function of pressure and enthalpy</t>
  </si>
  <si>
    <t xml:space="preserve"> Cv_ps</t>
  </si>
  <si>
    <t>Specific isochoric heat capacity as a function of pressure and entropy.</t>
  </si>
  <si>
    <t xml:space="preserve">Speed of sound </t>
  </si>
  <si>
    <t xml:space="preserve"> wV_p</t>
  </si>
  <si>
    <t>Saturated vapour speed of sound</t>
  </si>
  <si>
    <t xml:space="preserve"> wL_p</t>
  </si>
  <si>
    <t>Saturated liquid speed of sound</t>
  </si>
  <si>
    <t xml:space="preserve"> wV_T</t>
  </si>
  <si>
    <t xml:space="preserve"> wL_T</t>
  </si>
  <si>
    <t xml:space="preserve"> w_pT</t>
  </si>
  <si>
    <t>Speed of sound as a function of pressure and temperature.</t>
  </si>
  <si>
    <t xml:space="preserve"> w_ph</t>
  </si>
  <si>
    <t>Speed of sound as a function of pressure and enthalpy</t>
  </si>
  <si>
    <t xml:space="preserve"> w_ps</t>
  </si>
  <si>
    <t>Speed of sound as a function of pressure and entropy.</t>
  </si>
  <si>
    <t>Dynamic Viscosity</t>
  </si>
  <si>
    <t>Viscosity is not part of IAPWS Steam IF97. Equations from "Revised Release on the IAPWS Formulation 1985 for the Viscosity of Ordinary Water Substance", 2003 are used.</t>
  </si>
  <si>
    <t>Viscosity in the mixed region (4) is interpolated according to the density. This is not true since it will be two fases.</t>
  </si>
  <si>
    <t xml:space="preserve"> my_pT</t>
  </si>
  <si>
    <t>Pa s</t>
  </si>
  <si>
    <t>Viscosity as a function of pressure and temperature.</t>
  </si>
  <si>
    <t xml:space="preserve"> my_ph</t>
  </si>
  <si>
    <t>Viscosity as a function of pressure and enthalpy</t>
  </si>
  <si>
    <t xml:space="preserve"> my_ps</t>
  </si>
  <si>
    <t>Viscosity as a function of pressure and entropy.</t>
  </si>
  <si>
    <t>Prandtl</t>
  </si>
  <si>
    <t>Calcualted as Cp*my/tc</t>
  </si>
  <si>
    <t xml:space="preserve"> pr_pT</t>
  </si>
  <si>
    <t>-</t>
  </si>
  <si>
    <t xml:space="preserve"> pr_ph</t>
  </si>
  <si>
    <t>Thermal Conductivity</t>
  </si>
  <si>
    <t>Revised release on the IAPS Formulation 1985 for the Thermal Conductivity of ordinary water substance (IAPWS 1998)</t>
  </si>
  <si>
    <t xml:space="preserve"> tcL_p</t>
  </si>
  <si>
    <t>W/(m K)</t>
  </si>
  <si>
    <t>Saturated vapour thermal conductivity</t>
  </si>
  <si>
    <t xml:space="preserve"> tcV_p</t>
  </si>
  <si>
    <t>Saturated liquid thermal conductivity</t>
  </si>
  <si>
    <t xml:space="preserve"> tcL_T</t>
  </si>
  <si>
    <t xml:space="preserve"> tcV_T</t>
  </si>
  <si>
    <t xml:space="preserve"> tc_pT</t>
  </si>
  <si>
    <t>Thermal conductivity as a function of pressure and temperature.</t>
  </si>
  <si>
    <t xml:space="preserve"> tc_ph</t>
  </si>
  <si>
    <t>Thermal conductivity as a function of pressure and enthalpy</t>
  </si>
  <si>
    <t xml:space="preserve"> tc_hs</t>
  </si>
  <si>
    <t>Thermal conductivity as a function of enthalpy and entropy</t>
  </si>
  <si>
    <t>Surface Tension</t>
  </si>
  <si>
    <t>IAPWS Release on Surface Tension of Ordinary Water Substance, September 1994</t>
  </si>
  <si>
    <t xml:space="preserve"> st_T</t>
  </si>
  <si>
    <t>N/m</t>
  </si>
  <si>
    <t>Surface tension for two phase water/steam as a function of T</t>
  </si>
  <si>
    <t xml:space="preserve"> st_p</t>
  </si>
  <si>
    <t xml:space="preserve"> x_ph</t>
  </si>
  <si>
    <t>Vapour fraction as a function of pressure and enthalpy</t>
  </si>
  <si>
    <t xml:space="preserve"> x_ps</t>
  </si>
  <si>
    <t>Vapour fraction as a function of pressure and entropy.</t>
  </si>
  <si>
    <t>Vapour Volume Fraction</t>
  </si>
  <si>
    <t>Observe that vapour volume fraction is very sensitive. Vapour volume is about 1000 times greater than liquid volume and therfore vapour volume fraction</t>
  </si>
  <si>
    <t>gets close to the accurancy of steam IF-97</t>
  </si>
  <si>
    <t xml:space="preserve"> vx_ph</t>
  </si>
  <si>
    <t>Vapour volume fraction as a function of pressure and enthalpy</t>
  </si>
  <si>
    <t xml:space="preserve"> vx_ps</t>
  </si>
  <si>
    <t>Vapour volume fraction as a function of pressure and entropy.</t>
  </si>
  <si>
    <t>Version history</t>
  </si>
  <si>
    <t>News in V2.6</t>
  </si>
  <si>
    <t>* Error in valid region for function tc_ptrho</t>
  </si>
  <si>
    <t>* Error in function h3_pt for temperatures near the saturation point.</t>
  </si>
  <si>
    <t>News in V2.5</t>
  </si>
  <si>
    <t>* DLL distrubution for use in other applications</t>
  </si>
  <si>
    <t>* Freebasic translation</t>
  </si>
  <si>
    <t>* Fixed small error in Cv Region 5 p&gt;1000bar</t>
  </si>
  <si>
    <t>News in V2.4a</t>
  </si>
  <si>
    <t>* ToSIUnit for h_ps region 4. (No effect in SI unit version).</t>
  </si>
  <si>
    <t>News in V2.4</t>
  </si>
  <si>
    <t>* Functions by p,rho inplemented in matlab also.</t>
  </si>
  <si>
    <t>* Many missing ; in matlab causing printouts detected.</t>
  </si>
  <si>
    <t>* OpenOffice version introduced. (Fixed calculation differences in open office and excel)</t>
  </si>
  <si>
    <t>* Matlab error giving varaible undefined in some backwards solutions fixed.</t>
  </si>
  <si>
    <t>News in V2.3</t>
  </si>
  <si>
    <t>* Option Explicit, gives more efficient calculations.</t>
  </si>
  <si>
    <t>* Extensive testing</t>
  </si>
  <si>
    <t>* my_ph not defined in region 4.</t>
  </si>
  <si>
    <t>* Problems at region border for h4V_p to adress solver problems at the exact border.</t>
  </si>
  <si>
    <t>* Problem at fast border check in region_ph fixed.</t>
  </si>
  <si>
    <t>News in V2.2</t>
  </si>
  <si>
    <t>* Fixed error in Cp_ph</t>
  </si>
  <si>
    <t>* Function p_hrho added. (Very good for calcualting pressure when heating a volume with water/steam mixture.)</t>
  </si>
  <si>
    <t>* Fixed error in T_hs return no value for vet region bellow the water saturation line.</t>
  </si>
  <si>
    <t>* Prandtl number added</t>
  </si>
  <si>
    <t>News in V2.1</t>
  </si>
  <si>
    <t>* Calling function h_prho</t>
  </si>
  <si>
    <t>* Fixed problem with Cv reporting NaN in region 5.</t>
  </si>
  <si>
    <t>* Equivivalent to the Matlab version. (Downloadable from www.x-eng.com)</t>
  </si>
  <si>
    <t>News in V2</t>
  </si>
  <si>
    <t>* Calling functions of h and s added.</t>
  </si>
  <si>
    <t>* Thermal conductivity, Surface tension added</t>
  </si>
  <si>
    <t>* Calling functions h_px and h_tx added.</t>
  </si>
  <si>
    <t>* Cp, Cv and w undefined in the mixed region. (Before interpolation with the vapor fraction was used.)</t>
  </si>
  <si>
    <t>* A work sheet "Properties" for simple lookups added.</t>
  </si>
  <si>
    <t>Type:</t>
  </si>
  <si>
    <t xml:space="preserve">Project: </t>
  </si>
  <si>
    <t>Offer No.:</t>
  </si>
  <si>
    <t>Turbine EST 30 C</t>
  </si>
  <si>
    <t>Olevsk</t>
  </si>
  <si>
    <t>NA/17/067039</t>
  </si>
  <si>
    <r>
      <rPr>
        <b/>
        <sz val="8"/>
        <rFont val="Arial"/>
        <charset val="238"/>
      </rPr>
      <t>Speed turbine n</t>
    </r>
    <r>
      <rPr>
        <b/>
        <vertAlign val="subscript"/>
        <sz val="8"/>
        <rFont val="Arial"/>
        <charset val="238"/>
      </rPr>
      <t>T</t>
    </r>
    <r>
      <rPr>
        <b/>
        <sz val="8"/>
        <rFont val="Arial"/>
        <charset val="238"/>
      </rPr>
      <t>=8 800 min</t>
    </r>
    <r>
      <rPr>
        <b/>
        <vertAlign val="superscript"/>
        <sz val="8"/>
        <rFont val="Arial"/>
        <charset val="238"/>
      </rPr>
      <t>-1</t>
    </r>
  </si>
  <si>
    <r>
      <rPr>
        <b/>
        <sz val="8"/>
        <rFont val="Arial"/>
        <charset val="238"/>
      </rPr>
      <t>Speed generator n</t>
    </r>
    <r>
      <rPr>
        <b/>
        <vertAlign val="subscript"/>
        <sz val="8"/>
        <rFont val="Arial"/>
        <charset val="238"/>
      </rPr>
      <t>G</t>
    </r>
    <r>
      <rPr>
        <b/>
        <sz val="8"/>
        <rFont val="Arial"/>
        <charset val="238"/>
      </rPr>
      <t>= 1 500 min</t>
    </r>
    <r>
      <rPr>
        <b/>
        <vertAlign val="superscript"/>
        <sz val="8"/>
        <rFont val="Arial"/>
        <charset val="238"/>
      </rPr>
      <t>-1</t>
    </r>
  </si>
  <si>
    <t xml:space="preserve">Typ skříně: Loučovice </t>
  </si>
  <si>
    <t>Délka poslední lopatky [mm]:</t>
  </si>
  <si>
    <t>Lopatkovaní: "A"+10+12+6+6+6</t>
  </si>
  <si>
    <t xml:space="preserve">Počet regulačních ventilů: </t>
  </si>
  <si>
    <r>
      <rPr>
        <sz val="8"/>
        <rFont val="Arial"/>
        <charset val="238"/>
      </rPr>
      <t>Kondenzátor - teplosměnná plocha (m</t>
    </r>
    <r>
      <rPr>
        <vertAlign val="superscript"/>
        <sz val="8"/>
        <rFont val="Arial"/>
        <charset val="238"/>
      </rPr>
      <t>2</t>
    </r>
    <r>
      <rPr>
        <sz val="8"/>
        <rFont val="Arial"/>
        <charset val="238"/>
      </rPr>
      <t>):</t>
    </r>
  </si>
  <si>
    <t xml:space="preserve">Spojkový výkon pro převodovku [kW]: </t>
  </si>
  <si>
    <r>
      <rPr>
        <sz val="8"/>
        <rFont val="Arial"/>
        <charset val="238"/>
      </rPr>
      <t>Nízkotlaký ohřívák- teplosměnná plocha (m</t>
    </r>
    <r>
      <rPr>
        <vertAlign val="superscript"/>
        <sz val="8"/>
        <rFont val="Arial"/>
        <charset val="238"/>
      </rPr>
      <t>2</t>
    </r>
    <r>
      <rPr>
        <sz val="8"/>
        <rFont val="Arial"/>
        <charset val="238"/>
      </rPr>
      <t>):</t>
    </r>
  </si>
  <si>
    <t xml:space="preserve">Spojkový výkon pro generátor [kW]: </t>
  </si>
  <si>
    <r>
      <rPr>
        <sz val="8"/>
        <rFont val="Arial"/>
        <charset val="238"/>
      </rPr>
      <t>Topný výměník - teplosměnná plocha (m</t>
    </r>
    <r>
      <rPr>
        <vertAlign val="superscript"/>
        <sz val="8"/>
        <rFont val="Arial"/>
        <charset val="238"/>
      </rPr>
      <t>2</t>
    </r>
    <r>
      <rPr>
        <sz val="8"/>
        <rFont val="Arial"/>
        <charset val="238"/>
      </rPr>
      <t>)</t>
    </r>
  </si>
  <si>
    <t>Spotřeba chl.vody pro gen., převod., olej. (dtw=5°C): 60 t/h</t>
  </si>
  <si>
    <t>Odsávací system: vodokružné vývěvy</t>
  </si>
  <si>
    <t>Inlet</t>
  </si>
  <si>
    <t>LP1</t>
  </si>
  <si>
    <t>LP2</t>
  </si>
  <si>
    <t>Steam flow</t>
  </si>
  <si>
    <r>
      <rPr>
        <b/>
        <sz val="8"/>
        <rFont val="Arial"/>
        <charset val="238"/>
      </rPr>
      <t>m</t>
    </r>
    <r>
      <rPr>
        <b/>
        <vertAlign val="subscript"/>
        <sz val="8"/>
        <rFont val="Arial"/>
        <charset val="238"/>
      </rPr>
      <t>0</t>
    </r>
  </si>
  <si>
    <t>[t/h]</t>
  </si>
  <si>
    <r>
      <rPr>
        <b/>
        <sz val="8"/>
        <rFont val="Arial"/>
        <charset val="238"/>
      </rPr>
      <t>p</t>
    </r>
    <r>
      <rPr>
        <b/>
        <vertAlign val="subscript"/>
        <sz val="8"/>
        <rFont val="Arial"/>
        <charset val="238"/>
      </rPr>
      <t>0</t>
    </r>
  </si>
  <si>
    <r>
      <rPr>
        <sz val="8"/>
        <rFont val="Arial"/>
        <charset val="238"/>
      </rPr>
      <t>[bar</t>
    </r>
    <r>
      <rPr>
        <vertAlign val="subscript"/>
        <sz val="8"/>
        <rFont val="Arial"/>
        <charset val="238"/>
      </rPr>
      <t>a</t>
    </r>
    <r>
      <rPr>
        <sz val="8"/>
        <rFont val="Arial"/>
        <charset val="238"/>
      </rPr>
      <t>]</t>
    </r>
  </si>
  <si>
    <r>
      <rPr>
        <b/>
        <sz val="8"/>
        <rFont val="Arial"/>
        <charset val="238"/>
      </rPr>
      <t>t</t>
    </r>
    <r>
      <rPr>
        <b/>
        <vertAlign val="subscript"/>
        <sz val="8"/>
        <rFont val="Arial"/>
        <charset val="238"/>
      </rPr>
      <t>0</t>
    </r>
  </si>
  <si>
    <t>[°C]</t>
  </si>
  <si>
    <r>
      <rPr>
        <b/>
        <sz val="8"/>
        <rFont val="Arial"/>
        <charset val="238"/>
      </rPr>
      <t>h</t>
    </r>
    <r>
      <rPr>
        <b/>
        <vertAlign val="subscript"/>
        <sz val="8"/>
        <rFont val="Arial"/>
        <charset val="238"/>
      </rPr>
      <t>0</t>
    </r>
  </si>
  <si>
    <t>[kJ/kg]</t>
  </si>
  <si>
    <t>Uncontrolled extraction I</t>
  </si>
  <si>
    <t>Steam flow to deaer</t>
  </si>
  <si>
    <r>
      <rPr>
        <b/>
        <sz val="8"/>
        <rFont val="Arial"/>
        <charset val="238"/>
      </rPr>
      <t>m</t>
    </r>
    <r>
      <rPr>
        <b/>
        <vertAlign val="subscript"/>
        <sz val="8"/>
        <rFont val="Arial"/>
        <charset val="238"/>
      </rPr>
      <t>e2</t>
    </r>
  </si>
  <si>
    <t>[kg/h]</t>
  </si>
  <si>
    <t>Steam flow to deaerator</t>
  </si>
  <si>
    <r>
      <rPr>
        <b/>
        <sz val="8"/>
        <rFont val="Arial"/>
        <charset val="238"/>
      </rPr>
      <t>m</t>
    </r>
    <r>
      <rPr>
        <b/>
        <vertAlign val="subscript"/>
        <sz val="8"/>
        <rFont val="Arial"/>
        <charset val="238"/>
      </rPr>
      <t>e1_deaer</t>
    </r>
  </si>
  <si>
    <r>
      <rPr>
        <b/>
        <sz val="8"/>
        <rFont val="Arial"/>
        <charset val="238"/>
      </rPr>
      <t>p</t>
    </r>
    <r>
      <rPr>
        <b/>
        <vertAlign val="subscript"/>
        <sz val="8"/>
        <rFont val="Arial"/>
        <charset val="238"/>
      </rPr>
      <t>e1</t>
    </r>
  </si>
  <si>
    <r>
      <rPr>
        <b/>
        <sz val="8"/>
        <rFont val="Arial"/>
        <charset val="238"/>
      </rPr>
      <t>t</t>
    </r>
    <r>
      <rPr>
        <b/>
        <vertAlign val="subscript"/>
        <sz val="8"/>
        <rFont val="Arial"/>
        <charset val="238"/>
      </rPr>
      <t>e1</t>
    </r>
  </si>
  <si>
    <r>
      <rPr>
        <b/>
        <sz val="8"/>
        <rFont val="Arial"/>
        <charset val="238"/>
      </rPr>
      <t>h</t>
    </r>
    <r>
      <rPr>
        <b/>
        <vertAlign val="subscript"/>
        <sz val="8"/>
        <rFont val="Arial"/>
        <charset val="238"/>
      </rPr>
      <t>e1</t>
    </r>
  </si>
  <si>
    <t>Deaeration temperature</t>
  </si>
  <si>
    <t>Uncontrolled extraction II</t>
  </si>
  <si>
    <t>Steam flow to DH</t>
  </si>
  <si>
    <r>
      <rPr>
        <b/>
        <sz val="8"/>
        <rFont val="Arial"/>
        <charset val="238"/>
      </rPr>
      <t>m</t>
    </r>
    <r>
      <rPr>
        <b/>
        <vertAlign val="subscript"/>
        <sz val="8"/>
        <rFont val="Arial"/>
        <charset val="238"/>
      </rPr>
      <t>e2_DH</t>
    </r>
  </si>
  <si>
    <t>Steam flow to LPH</t>
  </si>
  <si>
    <r>
      <rPr>
        <b/>
        <sz val="8"/>
        <rFont val="Arial"/>
        <charset val="238"/>
      </rPr>
      <t>m</t>
    </r>
    <r>
      <rPr>
        <b/>
        <vertAlign val="subscript"/>
        <sz val="8"/>
        <rFont val="Arial"/>
        <charset val="238"/>
      </rPr>
      <t>e3</t>
    </r>
  </si>
  <si>
    <r>
      <rPr>
        <b/>
        <sz val="8"/>
        <rFont val="Arial"/>
        <charset val="238"/>
      </rPr>
      <t>m</t>
    </r>
    <r>
      <rPr>
        <b/>
        <vertAlign val="subscript"/>
        <sz val="8"/>
        <rFont val="Arial"/>
        <charset val="238"/>
      </rPr>
      <t>e2_LPH</t>
    </r>
  </si>
  <si>
    <r>
      <rPr>
        <b/>
        <sz val="8"/>
        <rFont val="Arial"/>
        <charset val="238"/>
      </rPr>
      <t>p</t>
    </r>
    <r>
      <rPr>
        <b/>
        <vertAlign val="subscript"/>
        <sz val="8"/>
        <rFont val="Arial"/>
        <charset val="238"/>
      </rPr>
      <t>e2</t>
    </r>
  </si>
  <si>
    <r>
      <rPr>
        <b/>
        <sz val="8"/>
        <rFont val="Arial"/>
        <charset val="238"/>
      </rPr>
      <t>t</t>
    </r>
    <r>
      <rPr>
        <b/>
        <vertAlign val="subscript"/>
        <sz val="8"/>
        <rFont val="Arial"/>
        <charset val="238"/>
      </rPr>
      <t>e2</t>
    </r>
  </si>
  <si>
    <r>
      <rPr>
        <b/>
        <sz val="8"/>
        <rFont val="Arial"/>
        <charset val="238"/>
      </rPr>
      <t>h</t>
    </r>
    <r>
      <rPr>
        <b/>
        <vertAlign val="subscript"/>
        <sz val="8"/>
        <rFont val="Arial"/>
        <charset val="238"/>
      </rPr>
      <t>e2</t>
    </r>
  </si>
  <si>
    <t>Return condensate from DH</t>
  </si>
  <si>
    <r>
      <rPr>
        <b/>
        <sz val="8"/>
        <rFont val="Arial"/>
        <charset val="238"/>
      </rPr>
      <t>t</t>
    </r>
    <r>
      <rPr>
        <b/>
        <vertAlign val="subscript"/>
        <sz val="8"/>
        <rFont val="Arial"/>
        <charset val="238"/>
      </rPr>
      <t>c</t>
    </r>
  </si>
  <si>
    <t>Feed water after LPH</t>
  </si>
  <si>
    <r>
      <rPr>
        <b/>
        <sz val="8"/>
        <rFont val="Arial"/>
        <charset val="238"/>
      </rPr>
      <t>t</t>
    </r>
    <r>
      <rPr>
        <b/>
        <vertAlign val="subscript"/>
        <sz val="8"/>
        <rFont val="Arial"/>
        <charset val="238"/>
      </rPr>
      <t>feed</t>
    </r>
  </si>
  <si>
    <t>Exhaust</t>
  </si>
  <si>
    <r>
      <rPr>
        <b/>
        <sz val="8"/>
        <rFont val="Arial"/>
        <charset val="238"/>
      </rPr>
      <t>m</t>
    </r>
    <r>
      <rPr>
        <b/>
        <vertAlign val="subscript"/>
        <sz val="8"/>
        <rFont val="Arial"/>
        <charset val="238"/>
      </rPr>
      <t>2</t>
    </r>
  </si>
  <si>
    <r>
      <rPr>
        <b/>
        <sz val="8"/>
        <rFont val="Arial"/>
        <charset val="238"/>
      </rPr>
      <t>p</t>
    </r>
    <r>
      <rPr>
        <b/>
        <vertAlign val="subscript"/>
        <sz val="8"/>
        <rFont val="Arial"/>
        <charset val="238"/>
      </rPr>
      <t>2</t>
    </r>
  </si>
  <si>
    <t>Total temperature</t>
  </si>
  <si>
    <r>
      <rPr>
        <b/>
        <sz val="8"/>
        <rFont val="Arial"/>
        <charset val="238"/>
      </rPr>
      <t>t</t>
    </r>
    <r>
      <rPr>
        <b/>
        <vertAlign val="subscript"/>
        <sz val="8"/>
        <rFont val="Arial"/>
        <charset val="238"/>
      </rPr>
      <t>2C</t>
    </r>
  </si>
  <si>
    <t>Total enthalpy-u/ca</t>
  </si>
  <si>
    <r>
      <rPr>
        <b/>
        <sz val="8"/>
        <rFont val="Arial"/>
        <charset val="238"/>
      </rPr>
      <t>h</t>
    </r>
    <r>
      <rPr>
        <b/>
        <vertAlign val="subscript"/>
        <sz val="8"/>
        <rFont val="Arial"/>
        <charset val="238"/>
      </rPr>
      <t>2C</t>
    </r>
  </si>
  <si>
    <t>Total enthalpy</t>
  </si>
  <si>
    <t>Coupling output-u/ca</t>
  </si>
  <si>
    <r>
      <rPr>
        <b/>
        <sz val="8"/>
        <rFont val="Arial"/>
        <charset val="238"/>
      </rPr>
      <t>P</t>
    </r>
    <r>
      <rPr>
        <b/>
        <vertAlign val="subscript"/>
        <sz val="8"/>
        <rFont val="Arial"/>
        <charset val="238"/>
      </rPr>
      <t>c</t>
    </r>
  </si>
  <si>
    <t>[kW]</t>
  </si>
  <si>
    <t>rezerva</t>
  </si>
  <si>
    <t>Electrical output</t>
  </si>
  <si>
    <r>
      <rPr>
        <b/>
        <sz val="8"/>
        <rFont val="Arial"/>
        <charset val="238"/>
      </rPr>
      <t>P</t>
    </r>
    <r>
      <rPr>
        <b/>
        <vertAlign val="subscript"/>
        <sz val="8"/>
        <rFont val="Arial"/>
        <charset val="238"/>
      </rPr>
      <t>el</t>
    </r>
  </si>
  <si>
    <t>Cooling system</t>
  </si>
  <si>
    <t>water flow</t>
  </si>
  <si>
    <r>
      <rPr>
        <b/>
        <sz val="8"/>
        <rFont val="Arial"/>
        <charset val="238"/>
      </rPr>
      <t>m</t>
    </r>
    <r>
      <rPr>
        <b/>
        <vertAlign val="subscript"/>
        <sz val="8"/>
        <rFont val="Arial"/>
        <charset val="238"/>
      </rPr>
      <t>w</t>
    </r>
  </si>
  <si>
    <t>Inlet temperature</t>
  </si>
  <si>
    <r>
      <rPr>
        <b/>
        <sz val="8"/>
        <rFont val="Arial"/>
        <charset val="238"/>
      </rPr>
      <t>t</t>
    </r>
    <r>
      <rPr>
        <b/>
        <vertAlign val="subscript"/>
        <sz val="8"/>
        <rFont val="Arial"/>
        <charset val="238"/>
      </rPr>
      <t>w1</t>
    </r>
  </si>
  <si>
    <t>Outlet temperature</t>
  </si>
  <si>
    <r>
      <rPr>
        <b/>
        <sz val="8"/>
        <rFont val="Arial"/>
        <charset val="238"/>
      </rPr>
      <t>t</t>
    </r>
    <r>
      <rPr>
        <b/>
        <vertAlign val="subscript"/>
        <sz val="8"/>
        <rFont val="Arial"/>
        <charset val="238"/>
      </rPr>
      <t>w2</t>
    </r>
  </si>
  <si>
    <t>heat-up water</t>
  </si>
  <si>
    <r>
      <rPr>
        <b/>
        <sz val="8"/>
        <rFont val="Arial"/>
        <charset val="238"/>
      </rPr>
      <t>dt</t>
    </r>
    <r>
      <rPr>
        <b/>
        <vertAlign val="subscript"/>
        <sz val="8"/>
        <rFont val="Arial"/>
        <charset val="238"/>
      </rPr>
      <t>w</t>
    </r>
  </si>
  <si>
    <t>District heating</t>
  </si>
  <si>
    <r>
      <rPr>
        <b/>
        <sz val="8"/>
        <rFont val="Arial"/>
        <charset val="238"/>
      </rPr>
      <t>m</t>
    </r>
    <r>
      <rPr>
        <b/>
        <vertAlign val="subscript"/>
        <sz val="8"/>
        <rFont val="Arial"/>
        <charset val="238"/>
      </rPr>
      <t>DH</t>
    </r>
  </si>
  <si>
    <r>
      <rPr>
        <b/>
        <sz val="8"/>
        <rFont val="Arial"/>
        <charset val="238"/>
      </rPr>
      <t>t</t>
    </r>
    <r>
      <rPr>
        <b/>
        <vertAlign val="subscript"/>
        <sz val="8"/>
        <rFont val="Arial"/>
        <charset val="238"/>
      </rPr>
      <t>DH1</t>
    </r>
  </si>
  <si>
    <r>
      <rPr>
        <b/>
        <sz val="8"/>
        <rFont val="Arial"/>
        <charset val="238"/>
      </rPr>
      <t>t</t>
    </r>
    <r>
      <rPr>
        <b/>
        <vertAlign val="subscript"/>
        <sz val="8"/>
        <rFont val="Arial"/>
        <charset val="238"/>
      </rPr>
      <t>DH2</t>
    </r>
  </si>
  <si>
    <t>Heat output</t>
  </si>
  <si>
    <r>
      <rPr>
        <b/>
        <sz val="8"/>
        <rFont val="Arial"/>
        <charset val="238"/>
      </rPr>
      <t>Q</t>
    </r>
    <r>
      <rPr>
        <b/>
        <vertAlign val="subscript"/>
        <sz val="8"/>
        <rFont val="Arial"/>
        <charset val="238"/>
      </rPr>
      <t>DH</t>
    </r>
  </si>
  <si>
    <t>Bude se zadávat tlak</t>
    <phoneticPr fontId="31" type="noConversion"/>
  </si>
  <si>
    <t>STAVY NA DOLNÍ A HORNÍ MEZNÍ KŘIVCE</t>
    <phoneticPr fontId="31" type="noConversion"/>
  </si>
  <si>
    <t>AABBBABAAAA^</t>
    <phoneticPr fontId="31" type="noConversion"/>
  </si>
  <si>
    <t>http://www.x-eng.com</t>
    <phoneticPr fontId="3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</si>
</sst>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"/>
    <numFmt numFmtId="177" formatCode="_(* #,##0.00_);_(* \(#,##0.00\);_(* &quot;-&quot;??_);_(@_)"/>
    <numFmt numFmtId="178" formatCode="0.000000"/>
    <numFmt numFmtId="179" formatCode="0.0000E+00"/>
    <numFmt numFmtId="181" formatCode="0.00000"/>
    <numFmt numFmtId="182" formatCode="0.0000"/>
    <numFmt numFmtId="184" formatCode="0.000"/>
  </numFmts>
  <fonts count="35" x14ac:knownFonts="1">
    <font>
      <sz val="10"/>
      <name val="Arial"/>
      <charset val="134"/>
    </font>
    <font>
      <sz val="10"/>
      <name val="Arial"/>
      <charset val="238"/>
    </font>
    <font>
      <sz val="8"/>
      <name val="Arial"/>
      <charset val="238"/>
    </font>
    <font>
      <b/>
      <sz val="16"/>
      <name val="Arial"/>
      <charset val="238"/>
    </font>
    <font>
      <b/>
      <sz val="12"/>
      <name val="Arial"/>
      <charset val="238"/>
    </font>
    <font>
      <b/>
      <sz val="8"/>
      <name val="Arial"/>
      <charset val="238"/>
    </font>
    <font>
      <b/>
      <sz val="14"/>
      <name val="Arial"/>
      <charset val="238"/>
    </font>
    <font>
      <sz val="12"/>
      <name val="Arial"/>
      <charset val="238"/>
    </font>
    <font>
      <sz val="6"/>
      <name val="Arial"/>
      <charset val="238"/>
    </font>
    <font>
      <sz val="6"/>
      <color rgb="FFFF0000"/>
      <name val="Arial"/>
      <charset val="238"/>
    </font>
    <font>
      <b/>
      <sz val="10"/>
      <name val="Arial"/>
      <charset val="238"/>
    </font>
    <font>
      <b/>
      <sz val="11"/>
      <color theme="1"/>
      <name val="宋体"/>
      <charset val="134"/>
      <scheme val="minor"/>
    </font>
    <font>
      <sz val="14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u/>
      <sz val="8"/>
      <color indexed="12"/>
      <name val="Arial"/>
      <charset val="238"/>
    </font>
    <font>
      <b/>
      <i/>
      <sz val="12"/>
      <name val="Arial"/>
      <family val="2"/>
    </font>
    <font>
      <b/>
      <i/>
      <sz val="10"/>
      <name val="Arial"/>
      <family val="2"/>
    </font>
    <font>
      <u/>
      <sz val="8"/>
      <color indexed="12"/>
      <name val="Arial"/>
      <family val="2"/>
    </font>
    <font>
      <u/>
      <sz val="10"/>
      <color indexed="12"/>
      <name val="Arial"/>
      <charset val="238"/>
    </font>
    <font>
      <sz val="7"/>
      <color indexed="9"/>
      <name val="Verdana"/>
      <charset val="238"/>
    </font>
    <font>
      <sz val="7"/>
      <name val="Verdana"/>
      <charset val="238"/>
    </font>
    <font>
      <sz val="11"/>
      <color indexed="9"/>
      <name val="Times New Roman"/>
      <charset val="238"/>
    </font>
    <font>
      <b/>
      <vertAlign val="subscript"/>
      <sz val="8"/>
      <name val="Arial"/>
      <charset val="238"/>
    </font>
    <font>
      <b/>
      <vertAlign val="superscript"/>
      <sz val="8"/>
      <name val="Arial"/>
      <charset val="238"/>
    </font>
    <font>
      <vertAlign val="superscript"/>
      <sz val="8"/>
      <name val="Arial"/>
      <charset val="238"/>
    </font>
    <font>
      <vertAlign val="subscript"/>
      <sz val="8"/>
      <name val="Arial"/>
      <charset val="238"/>
    </font>
    <font>
      <sz val="9"/>
      <name val="Arial"/>
      <family val="2"/>
    </font>
    <font>
      <sz val="7"/>
      <name val="Verdana"/>
      <family val="2"/>
    </font>
    <font>
      <sz val="7"/>
      <color indexed="9"/>
      <name val="Verdana"/>
      <family val="2"/>
    </font>
    <font>
      <sz val="11"/>
      <color indexed="9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lightGray">
        <fgColor indexed="9"/>
        <bgColor indexed="41"/>
      </patternFill>
    </fill>
    <fill>
      <patternFill patternType="solid">
        <fgColor indexed="2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17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1" fillId="0" borderId="0"/>
    <xf numFmtId="177" fontId="1" fillId="0" borderId="0" applyFont="0" applyFill="0" applyBorder="0" applyAlignment="0" applyProtection="0"/>
    <xf numFmtId="0" fontId="1" fillId="0" borderId="0"/>
  </cellStyleXfs>
  <cellXfs count="168">
    <xf numFmtId="0" fontId="0" fillId="0" borderId="0" xfId="0"/>
    <xf numFmtId="0" fontId="1" fillId="0" borderId="0" xfId="3" applyFill="1"/>
    <xf numFmtId="0" fontId="1" fillId="0" borderId="0" xfId="3"/>
    <xf numFmtId="0" fontId="1" fillId="0" borderId="0" xfId="3" applyNumberFormat="1"/>
    <xf numFmtId="0" fontId="1" fillId="0" borderId="0" xfId="3" applyBorder="1"/>
    <xf numFmtId="0" fontId="2" fillId="0" borderId="0" xfId="5" applyFont="1" applyFill="1" applyBorder="1"/>
    <xf numFmtId="0" fontId="3" fillId="0" borderId="1" xfId="5" applyFont="1" applyBorder="1" applyAlignment="1">
      <alignment horizontal="left" vertical="center"/>
    </xf>
    <xf numFmtId="0" fontId="4" fillId="0" borderId="1" xfId="1" applyFont="1" applyFill="1" applyBorder="1" applyAlignment="1">
      <alignment horizontal="left" vertical="center"/>
    </xf>
    <xf numFmtId="0" fontId="1" fillId="0" borderId="1" xfId="3" applyNumberFormat="1" applyBorder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2" borderId="0" xfId="1" applyFont="1" applyFill="1" applyAlignment="1">
      <alignment vertical="center"/>
    </xf>
    <xf numFmtId="0" fontId="1" fillId="2" borderId="0" xfId="3" applyFill="1"/>
    <xf numFmtId="0" fontId="1" fillId="2" borderId="0" xfId="3" applyNumberFormat="1" applyFont="1" applyFill="1" applyAlignment="1"/>
    <xf numFmtId="0" fontId="2" fillId="2" borderId="0" xfId="0" applyFont="1" applyFill="1" applyAlignment="1">
      <alignment horizontal="left" vertical="center"/>
    </xf>
    <xf numFmtId="0" fontId="1" fillId="2" borderId="0" xfId="1" applyFont="1" applyFill="1" applyAlignment="1">
      <alignment horizontal="center" vertical="center"/>
    </xf>
    <xf numFmtId="0" fontId="6" fillId="2" borderId="0" xfId="3" applyFont="1" applyFill="1" applyAlignment="1"/>
    <xf numFmtId="0" fontId="1" fillId="2" borderId="0" xfId="3" applyNumberFormat="1" applyFont="1" applyFill="1" applyAlignment="1">
      <alignment vertical="center"/>
    </xf>
    <xf numFmtId="0" fontId="2" fillId="2" borderId="0" xfId="3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0" fontId="7" fillId="2" borderId="0" xfId="3" applyFont="1" applyFill="1" applyAlignment="1"/>
    <xf numFmtId="3" fontId="2" fillId="2" borderId="0" xfId="3" applyNumberFormat="1" applyFont="1" applyFill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10" fillId="0" borderId="0" xfId="3" applyFont="1" applyBorder="1"/>
    <xf numFmtId="0" fontId="10" fillId="0" borderId="0" xfId="3" applyFont="1"/>
    <xf numFmtId="0" fontId="5" fillId="0" borderId="2" xfId="3" applyFont="1" applyBorder="1"/>
    <xf numFmtId="0" fontId="1" fillId="0" borderId="3" xfId="3" applyBorder="1"/>
    <xf numFmtId="0" fontId="1" fillId="0" borderId="4" xfId="3" applyBorder="1"/>
    <xf numFmtId="0" fontId="5" fillId="0" borderId="2" xfId="3" applyFont="1" applyBorder="1" applyAlignment="1">
      <alignment horizontal="center" vertical="center" wrapText="1"/>
    </xf>
    <xf numFmtId="0" fontId="2" fillId="0" borderId="2" xfId="0" applyFont="1" applyBorder="1" applyAlignment="1">
      <alignment vertical="center"/>
    </xf>
    <xf numFmtId="0" fontId="5" fillId="0" borderId="2" xfId="3" applyFont="1" applyBorder="1" applyAlignment="1">
      <alignment horizontal="center" vertical="center"/>
    </xf>
    <xf numFmtId="0" fontId="2" fillId="0" borderId="2" xfId="3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3" applyFont="1" applyBorder="1"/>
    <xf numFmtId="3" fontId="2" fillId="0" borderId="2" xfId="0" applyNumberFormat="1" applyFont="1" applyFill="1" applyBorder="1" applyAlignment="1" applyProtection="1">
      <alignment vertical="center"/>
    </xf>
    <xf numFmtId="176" fontId="2" fillId="0" borderId="2" xfId="0" applyNumberFormat="1" applyFont="1" applyBorder="1" applyAlignment="1">
      <alignment horizontal="center" vertical="center"/>
    </xf>
    <xf numFmtId="3" fontId="2" fillId="0" borderId="0" xfId="3" applyNumberFormat="1" applyFont="1" applyFill="1" applyBorder="1" applyAlignment="1" applyProtection="1">
      <alignment vertical="center"/>
    </xf>
    <xf numFmtId="176" fontId="2" fillId="0" borderId="0" xfId="3" applyNumberFormat="1" applyFont="1" applyFill="1" applyBorder="1" applyAlignment="1" applyProtection="1">
      <alignment vertical="center"/>
    </xf>
    <xf numFmtId="3" fontId="2" fillId="0" borderId="0" xfId="0" applyNumberFormat="1" applyFont="1" applyFill="1" applyBorder="1" applyAlignment="1" applyProtection="1">
      <alignment vertical="center"/>
    </xf>
    <xf numFmtId="0" fontId="5" fillId="0" borderId="0" xfId="3" applyFont="1" applyBorder="1" applyAlignment="1">
      <alignment horizontal="center" vertical="center"/>
    </xf>
    <xf numFmtId="0" fontId="2" fillId="0" borderId="0" xfId="3" applyFont="1" applyBorder="1" applyAlignment="1">
      <alignment horizontal="center" vertical="center"/>
    </xf>
    <xf numFmtId="2" fontId="2" fillId="0" borderId="0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3" applyFont="1" applyBorder="1"/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2" fillId="3" borderId="6" xfId="0" applyFont="1" applyFill="1" applyBorder="1" applyAlignment="1">
      <alignment vertical="center"/>
    </xf>
    <xf numFmtId="0" fontId="5" fillId="3" borderId="6" xfId="3" applyFont="1" applyFill="1" applyBorder="1" applyAlignment="1">
      <alignment horizontal="center" vertical="center"/>
    </xf>
    <xf numFmtId="0" fontId="2" fillId="3" borderId="6" xfId="3" applyFont="1" applyFill="1" applyBorder="1" applyAlignment="1">
      <alignment horizontal="center" vertical="center"/>
    </xf>
    <xf numFmtId="2" fontId="2" fillId="3" borderId="2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176" fontId="2" fillId="0" borderId="0" xfId="0" applyNumberFormat="1" applyFont="1" applyBorder="1" applyAlignment="1">
      <alignment horizontal="center" vertical="center"/>
    </xf>
    <xf numFmtId="0" fontId="5" fillId="0" borderId="6" xfId="3" applyFont="1" applyBorder="1" applyAlignment="1">
      <alignment horizontal="center" vertical="center"/>
    </xf>
    <xf numFmtId="0" fontId="2" fillId="0" borderId="6" xfId="3" applyFont="1" applyBorder="1" applyAlignment="1">
      <alignment horizontal="center" vertical="center"/>
    </xf>
    <xf numFmtId="2" fontId="2" fillId="3" borderId="6" xfId="0" applyNumberFormat="1" applyFont="1" applyFill="1" applyBorder="1" applyAlignment="1">
      <alignment horizontal="center" vertical="center"/>
    </xf>
    <xf numFmtId="176" fontId="2" fillId="0" borderId="0" xfId="3" applyNumberFormat="1" applyFont="1" applyBorder="1" applyAlignment="1">
      <alignment horizontal="center" vertical="center"/>
    </xf>
    <xf numFmtId="184" fontId="2" fillId="0" borderId="2" xfId="0" applyNumberFormat="1" applyFont="1" applyBorder="1" applyAlignment="1">
      <alignment horizontal="center" vertical="center"/>
    </xf>
    <xf numFmtId="176" fontId="2" fillId="0" borderId="2" xfId="3" applyNumberFormat="1" applyFont="1" applyBorder="1" applyAlignment="1">
      <alignment horizontal="center" vertical="center"/>
    </xf>
    <xf numFmtId="3" fontId="2" fillId="3" borderId="2" xfId="0" applyNumberFormat="1" applyFont="1" applyFill="1" applyBorder="1" applyAlignment="1" applyProtection="1">
      <alignment vertical="center"/>
    </xf>
    <xf numFmtId="0" fontId="5" fillId="3" borderId="2" xfId="3" applyFont="1" applyFill="1" applyBorder="1" applyAlignment="1">
      <alignment horizontal="center" vertical="center"/>
    </xf>
    <xf numFmtId="0" fontId="2" fillId="3" borderId="2" xfId="3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176" fontId="2" fillId="3" borderId="2" xfId="3" applyNumberFormat="1" applyFont="1" applyFill="1" applyBorder="1" applyAlignment="1">
      <alignment horizontal="center" vertical="center"/>
    </xf>
    <xf numFmtId="0" fontId="5" fillId="3" borderId="2" xfId="3" applyFont="1" applyFill="1" applyBorder="1" applyAlignment="1">
      <alignment vertical="center"/>
    </xf>
    <xf numFmtId="3" fontId="5" fillId="3" borderId="2" xfId="3" applyNumberFormat="1" applyFont="1" applyFill="1" applyBorder="1" applyAlignment="1">
      <alignment horizontal="center" vertical="center"/>
    </xf>
    <xf numFmtId="0" fontId="2" fillId="3" borderId="0" xfId="3" applyFont="1" applyFill="1" applyAlignment="1">
      <alignment vertical="center"/>
    </xf>
    <xf numFmtId="2" fontId="2" fillId="3" borderId="0" xfId="3" applyNumberFormat="1" applyFont="1" applyFill="1" applyAlignment="1">
      <alignment horizontal="center" vertical="center"/>
    </xf>
    <xf numFmtId="0" fontId="1" fillId="0" borderId="0" xfId="3" applyFill="1" applyBorder="1"/>
    <xf numFmtId="0" fontId="5" fillId="0" borderId="2" xfId="3" applyFont="1" applyBorder="1" applyAlignment="1">
      <alignment vertical="center"/>
    </xf>
    <xf numFmtId="3" fontId="5" fillId="0" borderId="2" xfId="3" applyNumberFormat="1" applyFont="1" applyBorder="1" applyAlignment="1">
      <alignment horizontal="center" vertical="center"/>
    </xf>
    <xf numFmtId="2" fontId="2" fillId="0" borderId="0" xfId="3" applyNumberFormat="1" applyFont="1" applyBorder="1" applyAlignment="1">
      <alignment horizontal="center"/>
    </xf>
    <xf numFmtId="0" fontId="5" fillId="0" borderId="1" xfId="3" applyFont="1" applyBorder="1"/>
    <xf numFmtId="0" fontId="2" fillId="0" borderId="0" xfId="3" applyFont="1"/>
    <xf numFmtId="0" fontId="2" fillId="0" borderId="0" xfId="3" applyFont="1" applyFill="1" applyBorder="1"/>
    <xf numFmtId="0" fontId="2" fillId="0" borderId="2" xfId="3" applyFont="1" applyBorder="1"/>
    <xf numFmtId="3" fontId="2" fillId="0" borderId="2" xfId="3" applyNumberFormat="1" applyFont="1" applyFill="1" applyBorder="1" applyAlignment="1">
      <alignment horizontal="center"/>
    </xf>
    <xf numFmtId="176" fontId="2" fillId="0" borderId="2" xfId="3" applyNumberFormat="1" applyFont="1" applyFill="1" applyBorder="1" applyAlignment="1">
      <alignment horizontal="center"/>
    </xf>
    <xf numFmtId="0" fontId="2" fillId="0" borderId="2" xfId="3" applyFont="1" applyFill="1" applyBorder="1"/>
    <xf numFmtId="176" fontId="2" fillId="0" borderId="2" xfId="0" applyNumberFormat="1" applyFont="1" applyBorder="1" applyAlignment="1">
      <alignment horizontal="center"/>
    </xf>
    <xf numFmtId="0" fontId="2" fillId="0" borderId="2" xfId="3" applyFont="1" applyFill="1" applyBorder="1" applyAlignment="1">
      <alignment horizontal="center"/>
    </xf>
    <xf numFmtId="3" fontId="2" fillId="0" borderId="2" xfId="0" applyNumberFormat="1" applyFont="1" applyBorder="1" applyAlignment="1">
      <alignment horizontal="center"/>
    </xf>
    <xf numFmtId="0" fontId="1" fillId="0" borderId="0" xfId="3" applyNumberFormat="1" applyFill="1" applyBorder="1"/>
    <xf numFmtId="0" fontId="1" fillId="0" borderId="0" xfId="3" applyBorder="1" applyProtection="1">
      <protection locked="0"/>
    </xf>
    <xf numFmtId="2" fontId="1" fillId="0" borderId="0" xfId="3" applyNumberFormat="1" applyBorder="1" applyAlignment="1">
      <alignment horizontal="center"/>
    </xf>
    <xf numFmtId="2" fontId="1" fillId="0" borderId="0" xfId="3" applyNumberFormat="1" applyFill="1" applyBorder="1" applyAlignment="1">
      <alignment horizontal="center"/>
    </xf>
    <xf numFmtId="3" fontId="11" fillId="0" borderId="0" xfId="0" applyNumberFormat="1" applyFont="1" applyAlignment="1">
      <alignment horizontal="center"/>
    </xf>
    <xf numFmtId="3" fontId="11" fillId="0" borderId="0" xfId="0" applyNumberFormat="1" applyFont="1"/>
    <xf numFmtId="2" fontId="11" fillId="0" borderId="0" xfId="0" applyNumberFormat="1" applyFont="1" applyBorder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2" applyFont="1" applyAlignment="1" applyProtection="1"/>
    <xf numFmtId="0" fontId="20" fillId="0" borderId="0" xfId="0" applyFont="1"/>
    <xf numFmtId="0" fontId="21" fillId="0" borderId="0" xfId="0" applyFont="1"/>
    <xf numFmtId="179" fontId="16" fillId="0" borderId="0" xfId="0" applyNumberFormat="1" applyFont="1"/>
    <xf numFmtId="0" fontId="17" fillId="0" borderId="0" xfId="0" applyFont="1" applyBorder="1"/>
    <xf numFmtId="0" fontId="15" fillId="0" borderId="0" xfId="0" applyFont="1" applyBorder="1"/>
    <xf numFmtId="182" fontId="16" fillId="0" borderId="0" xfId="0" applyNumberFormat="1" applyFont="1"/>
    <xf numFmtId="0" fontId="0" fillId="0" borderId="0" xfId="0" applyBorder="1"/>
    <xf numFmtId="0" fontId="22" fillId="0" borderId="0" xfId="2" applyFont="1" applyAlignment="1" applyProtection="1"/>
    <xf numFmtId="0" fontId="23" fillId="0" borderId="0" xfId="2" applyAlignment="1" applyProtection="1"/>
    <xf numFmtId="0" fontId="16" fillId="0" borderId="0" xfId="0" applyFont="1" applyFill="1" applyBorder="1"/>
    <xf numFmtId="0" fontId="0" fillId="0" borderId="0" xfId="0" applyFill="1" applyBorder="1"/>
    <xf numFmtId="0" fontId="0" fillId="4" borderId="7" xfId="0" applyFill="1" applyBorder="1"/>
    <xf numFmtId="2" fontId="16" fillId="5" borderId="8" xfId="0" applyNumberFormat="1" applyFont="1" applyFill="1" applyBorder="1"/>
    <xf numFmtId="0" fontId="0" fillId="4" borderId="9" xfId="0" applyFill="1" applyBorder="1"/>
    <xf numFmtId="184" fontId="16" fillId="5" borderId="8" xfId="0" applyNumberFormat="1" applyFont="1" applyFill="1" applyBorder="1"/>
    <xf numFmtId="0" fontId="0" fillId="0" borderId="10" xfId="0" applyBorder="1"/>
    <xf numFmtId="184" fontId="0" fillId="0" borderId="0" xfId="0" applyNumberFormat="1" applyBorder="1"/>
    <xf numFmtId="0" fontId="0" fillId="0" borderId="11" xfId="0" applyBorder="1"/>
    <xf numFmtId="2" fontId="0" fillId="0" borderId="0" xfId="0" applyNumberFormat="1" applyBorder="1"/>
    <xf numFmtId="0" fontId="16" fillId="0" borderId="10" xfId="0" applyFont="1" applyBorder="1"/>
    <xf numFmtId="176" fontId="0" fillId="0" borderId="0" xfId="0" applyNumberFormat="1" applyBorder="1"/>
    <xf numFmtId="0" fontId="16" fillId="0" borderId="10" xfId="0" applyFont="1" applyFill="1" applyBorder="1"/>
    <xf numFmtId="0" fontId="0" fillId="0" borderId="12" xfId="0" applyBorder="1"/>
    <xf numFmtId="176" fontId="0" fillId="0" borderId="1" xfId="0" applyNumberFormat="1" applyBorder="1"/>
    <xf numFmtId="0" fontId="0" fillId="0" borderId="13" xfId="0" applyBorder="1"/>
    <xf numFmtId="0" fontId="0" fillId="4" borderId="10" xfId="0" applyFill="1" applyBorder="1"/>
    <xf numFmtId="2" fontId="16" fillId="5" borderId="0" xfId="0" applyNumberFormat="1" applyFont="1" applyFill="1" applyBorder="1"/>
    <xf numFmtId="0" fontId="0" fillId="4" borderId="11" xfId="0" applyFill="1" applyBorder="1"/>
    <xf numFmtId="0" fontId="0" fillId="0" borderId="10" xfId="0" applyFill="1" applyBorder="1"/>
    <xf numFmtId="0" fontId="0" fillId="0" borderId="11" xfId="0" applyFill="1" applyBorder="1"/>
    <xf numFmtId="0" fontId="16" fillId="0" borderId="0" xfId="0" applyFont="1" applyBorder="1" applyAlignment="1">
      <alignment horizontal="center"/>
    </xf>
    <xf numFmtId="0" fontId="0" fillId="0" borderId="1" xfId="0" applyBorder="1"/>
    <xf numFmtId="2" fontId="0" fillId="0" borderId="0" xfId="0" applyNumberFormat="1"/>
    <xf numFmtId="0" fontId="24" fillId="0" borderId="0" xfId="0" applyFont="1" applyFill="1"/>
    <xf numFmtId="0" fontId="25" fillId="0" borderId="0" xfId="0" applyFont="1" applyFill="1" applyBorder="1"/>
    <xf numFmtId="0" fontId="25" fillId="0" borderId="0" xfId="0" applyFont="1"/>
    <xf numFmtId="0" fontId="25" fillId="7" borderId="0" xfId="0" applyFont="1" applyFill="1" applyAlignment="1"/>
    <xf numFmtId="0" fontId="25" fillId="0" borderId="2" xfId="0" applyFont="1" applyBorder="1"/>
    <xf numFmtId="0" fontId="25" fillId="0" borderId="0" xfId="0" applyFont="1" applyFill="1" applyBorder="1" applyAlignment="1"/>
    <xf numFmtId="176" fontId="24" fillId="8" borderId="0" xfId="0" applyNumberFormat="1" applyFont="1" applyFill="1" applyAlignment="1"/>
    <xf numFmtId="176" fontId="25" fillId="0" borderId="2" xfId="0" applyNumberFormat="1" applyFont="1" applyBorder="1"/>
    <xf numFmtId="181" fontId="25" fillId="0" borderId="2" xfId="0" applyNumberFormat="1" applyFont="1" applyBorder="1"/>
    <xf numFmtId="178" fontId="25" fillId="0" borderId="2" xfId="0" applyNumberFormat="1" applyFont="1" applyBorder="1"/>
    <xf numFmtId="182" fontId="25" fillId="0" borderId="2" xfId="0" applyNumberFormat="1" applyFont="1" applyBorder="1"/>
    <xf numFmtId="2" fontId="25" fillId="0" borderId="2" xfId="0" applyNumberFormat="1" applyFont="1" applyBorder="1"/>
    <xf numFmtId="176" fontId="25" fillId="0" borderId="0" xfId="0" applyNumberFormat="1" applyFont="1"/>
    <xf numFmtId="181" fontId="25" fillId="0" borderId="0" xfId="0" applyNumberFormat="1" applyFont="1"/>
    <xf numFmtId="178" fontId="25" fillId="0" borderId="0" xfId="0" applyNumberFormat="1" applyFont="1"/>
    <xf numFmtId="182" fontId="25" fillId="0" borderId="0" xfId="0" applyNumberFormat="1" applyFont="1"/>
    <xf numFmtId="2" fontId="25" fillId="0" borderId="0" xfId="0" applyNumberFormat="1" applyFont="1"/>
    <xf numFmtId="0" fontId="25" fillId="0" borderId="0" xfId="0" applyFont="1" applyBorder="1"/>
    <xf numFmtId="1" fontId="25" fillId="0" borderId="2" xfId="0" applyNumberFormat="1" applyFont="1" applyBorder="1"/>
    <xf numFmtId="1" fontId="25" fillId="0" borderId="0" xfId="0" applyNumberFormat="1" applyFont="1"/>
    <xf numFmtId="0" fontId="25" fillId="0" borderId="2" xfId="0" applyFont="1" applyBorder="1" applyAlignment="1">
      <alignment horizontal="center"/>
    </xf>
    <xf numFmtId="2" fontId="25" fillId="0" borderId="2" xfId="0" applyNumberFormat="1" applyFont="1" applyBorder="1" applyAlignment="1">
      <alignment horizontal="center" vertical="center"/>
    </xf>
    <xf numFmtId="0" fontId="26" fillId="6" borderId="0" xfId="0" applyFont="1" applyFill="1" applyAlignment="1">
      <alignment horizontal="left"/>
    </xf>
    <xf numFmtId="0" fontId="24" fillId="6" borderId="0" xfId="0" applyFont="1" applyFill="1" applyAlignment="1">
      <alignment horizontal="left"/>
    </xf>
    <xf numFmtId="178" fontId="25" fillId="0" borderId="3" xfId="0" applyNumberFormat="1" applyFont="1" applyBorder="1" applyAlignment="1">
      <alignment horizontal="left"/>
    </xf>
    <xf numFmtId="178" fontId="25" fillId="0" borderId="5" xfId="0" applyNumberFormat="1" applyFont="1" applyBorder="1" applyAlignment="1">
      <alignment horizontal="left"/>
    </xf>
    <xf numFmtId="178" fontId="25" fillId="0" borderId="4" xfId="0" applyNumberFormat="1" applyFont="1" applyBorder="1" applyAlignment="1">
      <alignment horizontal="left"/>
    </xf>
    <xf numFmtId="0" fontId="24" fillId="6" borderId="0" xfId="0" applyFont="1" applyFill="1" applyAlignment="1">
      <alignment horizontal="center" vertical="center" wrapText="1"/>
    </xf>
    <xf numFmtId="0" fontId="24" fillId="6" borderId="0" xfId="0" applyFont="1" applyFill="1" applyAlignment="1">
      <alignment horizontal="left" vertical="center" wrapText="1"/>
    </xf>
    <xf numFmtId="0" fontId="24" fillId="6" borderId="11" xfId="0" applyFont="1" applyFill="1" applyBorder="1" applyAlignment="1">
      <alignment horizontal="left" vertical="center" wrapText="1"/>
    </xf>
    <xf numFmtId="0" fontId="25" fillId="0" borderId="2" xfId="0" applyFont="1" applyBorder="1" applyAlignment="1">
      <alignment horizontal="center" vertical="center" wrapText="1"/>
    </xf>
    <xf numFmtId="0" fontId="33" fillId="6" borderId="0" xfId="0" applyFont="1" applyFill="1" applyAlignment="1">
      <alignment horizontal="left"/>
    </xf>
    <xf numFmtId="0" fontId="32" fillId="0" borderId="0" xfId="0" applyFont="1" applyFill="1" applyBorder="1"/>
    <xf numFmtId="0" fontId="34" fillId="6" borderId="0" xfId="0" applyFont="1" applyFill="1" applyAlignment="1">
      <alignment horizontal="left"/>
    </xf>
    <xf numFmtId="2" fontId="17" fillId="0" borderId="0" xfId="3" applyNumberFormat="1" applyFont="1" applyBorder="1" applyAlignment="1">
      <alignment horizontal="center"/>
    </xf>
  </cellXfs>
  <cellStyles count="6">
    <cellStyle name="čárky 2" xfId="4"/>
    <cellStyle name="normální_Výsledky-T21_Vysledky_ČKD-KAZACHSTAN-K44-IF97" xfId="1"/>
    <cellStyle name="normální_vystupni tabula" xfId="5"/>
    <cellStyle name="normální_vystupni tabulka 043 168" xfId="3"/>
    <cellStyle name="常规" xfId="0" builtinId="0"/>
    <cellStyle name="超链接" xfId="2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283845</xdr:colOff>
      <xdr:row>3</xdr:row>
      <xdr:rowOff>57150</xdr:rowOff>
    </xdr:from>
    <xdr:to>
      <xdr:col>3</xdr:col>
      <xdr:colOff>466725</xdr:colOff>
      <xdr:row>5</xdr:row>
      <xdr:rowOff>41910</xdr:rowOff>
    </xdr:to>
    <xdr:pic>
      <xdr:nvPicPr>
        <xdr:cNvPr id="1025" name="CommandButton1"/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5995" y="571500"/>
          <a:ext cx="1163955" cy="3086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x-eng.com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mailto:magnus@x-eng.com" TargetMode="External"/><Relationship Id="rId1" Type="http://schemas.openxmlformats.org/officeDocument/2006/relationships/hyperlink" Target="http://www.x-eng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K85"/>
  <sheetViews>
    <sheetView showGridLines="0" workbookViewId="0">
      <selection activeCell="E16" sqref="E16"/>
    </sheetView>
  </sheetViews>
  <sheetFormatPr defaultColWidth="9.140625" defaultRowHeight="10.5" x14ac:dyDescent="0.2"/>
  <cols>
    <col min="1" max="11" width="14.7109375" style="135" customWidth="1"/>
    <col min="12" max="16384" width="9.140625" style="135"/>
  </cols>
  <sheetData>
    <row r="1" spans="1:11" s="133" customFormat="1" ht="15" customHeight="1" x14ac:dyDescent="0.25">
      <c r="A1" s="166" t="s">
        <v>363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</row>
    <row r="2" spans="1:11" ht="12.95" customHeight="1" x14ac:dyDescent="0.2"/>
    <row r="3" spans="1:11" ht="12.95" customHeight="1" x14ac:dyDescent="0.2">
      <c r="A3" s="156" t="s">
        <v>0</v>
      </c>
      <c r="B3" s="156"/>
    </row>
    <row r="4" spans="1:11" ht="12.95" customHeight="1" x14ac:dyDescent="0.2"/>
    <row r="5" spans="1:11" ht="12.95" customHeight="1" x14ac:dyDescent="0.2">
      <c r="A5" s="136" t="s">
        <v>1</v>
      </c>
      <c r="B5" s="137">
        <v>200</v>
      </c>
    </row>
    <row r="6" spans="1:11" s="134" customFormat="1" ht="12.95" customHeight="1" x14ac:dyDescent="0.2">
      <c r="A6" s="138"/>
      <c r="B6" s="165">
        <v>0</v>
      </c>
    </row>
    <row r="7" spans="1:11" ht="12.95" customHeight="1" x14ac:dyDescent="0.2">
      <c r="A7" s="139" t="s">
        <v>2</v>
      </c>
      <c r="B7" s="157" t="str">
        <f>IF(B5&lt;0.022,"Zadaná teplota je mimo rozsah povolených hodnot!",IF(B5&gt;310.9,"Zadaná teplota je mimo rozsah povolených hodnot!",""))</f>
        <v/>
      </c>
      <c r="C7" s="158"/>
      <c r="D7" s="158"/>
      <c r="E7" s="158"/>
      <c r="F7" s="158"/>
      <c r="G7" s="158"/>
      <c r="H7" s="158"/>
      <c r="I7" s="158"/>
      <c r="J7" s="158"/>
      <c r="K7" s="159"/>
    </row>
    <row r="8" spans="1:11" ht="12.95" customHeight="1" x14ac:dyDescent="0.2"/>
    <row r="9" spans="1:11" ht="12.95" customHeight="1" x14ac:dyDescent="0.2">
      <c r="A9" s="163" t="s">
        <v>3</v>
      </c>
      <c r="B9" s="163" t="s">
        <v>4</v>
      </c>
      <c r="C9" s="163" t="s">
        <v>5</v>
      </c>
      <c r="D9" s="163" t="s">
        <v>6</v>
      </c>
      <c r="E9" s="163" t="s">
        <v>7</v>
      </c>
      <c r="F9" s="163" t="s">
        <v>8</v>
      </c>
      <c r="G9" s="163" t="s">
        <v>9</v>
      </c>
      <c r="H9" s="163" t="s">
        <v>10</v>
      </c>
      <c r="I9" s="163" t="s">
        <v>11</v>
      </c>
      <c r="J9" s="163" t="s">
        <v>12</v>
      </c>
      <c r="K9" s="163" t="s">
        <v>13</v>
      </c>
    </row>
    <row r="10" spans="1:11" ht="12.95" customHeight="1" x14ac:dyDescent="0.2">
      <c r="A10" s="163"/>
      <c r="B10" s="163"/>
      <c r="C10" s="163"/>
      <c r="D10" s="163"/>
      <c r="E10" s="163"/>
      <c r="F10" s="163"/>
      <c r="G10" s="163"/>
      <c r="H10" s="163"/>
      <c r="I10" s="163"/>
      <c r="J10" s="163"/>
      <c r="K10" s="163"/>
    </row>
    <row r="11" spans="1:11" ht="12.95" customHeight="1" x14ac:dyDescent="0.2">
      <c r="A11" s="163"/>
      <c r="B11" s="163"/>
      <c r="C11" s="163"/>
      <c r="D11" s="163"/>
      <c r="E11" s="163"/>
      <c r="F11" s="163"/>
      <c r="G11" s="163"/>
      <c r="H11" s="163"/>
      <c r="I11" s="163"/>
      <c r="J11" s="163"/>
      <c r="K11" s="163"/>
    </row>
    <row r="12" spans="1:11" ht="12.95" customHeight="1" x14ac:dyDescent="0.2">
      <c r="A12" s="140">
        <f>B5</f>
        <v>200</v>
      </c>
      <c r="B12" s="141">
        <f>psat_t(A12)</f>
        <v>15.546718682698252</v>
      </c>
      <c r="C12" s="142">
        <f t="shared" ref="C12:C22" si="0">1/rhoL_T(A12)</f>
        <v>1.1565138833287323E-3</v>
      </c>
      <c r="D12" s="143">
        <f t="shared" ref="D12:D22" si="1">1/rhoV_T(A12)</f>
        <v>0.12722232139614723</v>
      </c>
      <c r="E12" s="144">
        <f t="shared" ref="E12:E22" si="2">hL_T(A12)</f>
        <v>852.39306808341792</v>
      </c>
      <c r="F12" s="144">
        <f t="shared" ref="F12:F22" si="3">hV_T(A12)</f>
        <v>2792.0615640122787</v>
      </c>
      <c r="G12" s="144">
        <f>F12-E12</f>
        <v>1939.6684959288609</v>
      </c>
      <c r="H12" s="143">
        <f t="shared" ref="H12:H22" si="4">sL_T(A12)</f>
        <v>2.3308007061038136</v>
      </c>
      <c r="I12" s="143">
        <f t="shared" ref="I12:I22" si="5">sV_T(A12)</f>
        <v>6.43029677203209</v>
      </c>
      <c r="J12" s="143">
        <f t="shared" ref="J12:J22" si="6">CpL_T(A12)</f>
        <v>4.4940105570712214</v>
      </c>
      <c r="K12" s="143">
        <f t="shared" ref="K12:K22" si="7">CpV_T(A12)</f>
        <v>2.9900223225115274</v>
      </c>
    </row>
    <row r="13" spans="1:11" ht="12.95" customHeight="1" x14ac:dyDescent="0.2">
      <c r="A13" s="137">
        <f>A12+0.1</f>
        <v>200.1</v>
      </c>
      <c r="B13" s="141">
        <f t="shared" ref="B12:B22" si="8">psat_t(A13)</f>
        <v>15.579264601262475</v>
      </c>
      <c r="C13" s="142">
        <f t="shared" si="0"/>
        <v>1.1566700745049882E-3</v>
      </c>
      <c r="D13" s="143">
        <f t="shared" si="1"/>
        <v>0.12696519554908994</v>
      </c>
      <c r="E13" s="144">
        <f t="shared" si="2"/>
        <v>852.84380194296784</v>
      </c>
      <c r="F13" s="144">
        <f t="shared" si="3"/>
        <v>2792.121906407363</v>
      </c>
      <c r="G13" s="144">
        <f t="shared" ref="G13:G22" si="9">F13-E13</f>
        <v>1939.2781044643953</v>
      </c>
      <c r="H13" s="143">
        <f t="shared" si="4"/>
        <v>2.3317452742051632</v>
      </c>
      <c r="I13" s="143">
        <f t="shared" si="5"/>
        <v>6.4295501624873168</v>
      </c>
      <c r="J13" s="143">
        <f t="shared" si="6"/>
        <v>4.4945163928793139</v>
      </c>
      <c r="K13" s="143">
        <f t="shared" si="7"/>
        <v>2.9915353619507443</v>
      </c>
    </row>
    <row r="14" spans="1:11" ht="12.95" customHeight="1" x14ac:dyDescent="0.2">
      <c r="A14" s="137">
        <f t="shared" ref="A14:A22" si="10">A13+0.1</f>
        <v>200.2</v>
      </c>
      <c r="B14" s="141">
        <f t="shared" si="8"/>
        <v>15.611863617683984</v>
      </c>
      <c r="C14" s="142">
        <f t="shared" si="0"/>
        <v>1.1568263780265848E-3</v>
      </c>
      <c r="D14" s="143">
        <f t="shared" si="1"/>
        <v>0.12670868661051224</v>
      </c>
      <c r="E14" s="144">
        <f t="shared" si="2"/>
        <v>853.29458667617473</v>
      </c>
      <c r="F14" s="144">
        <f t="shared" si="3"/>
        <v>2792.1821028125969</v>
      </c>
      <c r="G14" s="144">
        <f t="shared" si="9"/>
        <v>1938.8875161364222</v>
      </c>
      <c r="H14" s="143">
        <f t="shared" si="4"/>
        <v>2.3326897361713774</v>
      </c>
      <c r="I14" s="143">
        <f t="shared" si="5"/>
        <v>6.4288037452720994</v>
      </c>
      <c r="J14" s="143">
        <f t="shared" si="6"/>
        <v>4.4950229283184244</v>
      </c>
      <c r="K14" s="143">
        <f t="shared" si="7"/>
        <v>2.9930499959289505</v>
      </c>
    </row>
    <row r="15" spans="1:11" ht="12.95" customHeight="1" x14ac:dyDescent="0.2">
      <c r="A15" s="137">
        <f t="shared" si="10"/>
        <v>200.29999999999998</v>
      </c>
      <c r="B15" s="141">
        <f t="shared" si="8"/>
        <v>15.644515791561753</v>
      </c>
      <c r="C15" s="142">
        <f t="shared" si="0"/>
        <v>1.1569827940104682E-3</v>
      </c>
      <c r="D15" s="143">
        <f t="shared" si="1"/>
        <v>0.12645279283563385</v>
      </c>
      <c r="E15" s="144">
        <f>hL_T(A15)</f>
        <v>853.74542234675062</v>
      </c>
      <c r="F15" s="144">
        <f t="shared" si="3"/>
        <v>2792.2421531026962</v>
      </c>
      <c r="G15" s="144">
        <f t="shared" si="9"/>
        <v>1938.4967307559455</v>
      </c>
      <c r="H15" s="143">
        <f t="shared" si="4"/>
        <v>2.3336340921630385</v>
      </c>
      <c r="I15" s="143">
        <f t="shared" si="5"/>
        <v>6.4280575199589816</v>
      </c>
      <c r="J15" s="143">
        <f t="shared" si="6"/>
        <v>4.4955301644903622</v>
      </c>
      <c r="K15" s="143">
        <f t="shared" si="7"/>
        <v>2.9945662269860422</v>
      </c>
    </row>
    <row r="16" spans="1:11" ht="12.95" customHeight="1" x14ac:dyDescent="0.2">
      <c r="A16" s="137">
        <f t="shared" si="10"/>
        <v>200.39999999999998</v>
      </c>
      <c r="B16" s="141">
        <f t="shared" si="8"/>
        <v>15.677221182526713</v>
      </c>
      <c r="C16" s="142">
        <f t="shared" si="0"/>
        <v>1.1571393225737925E-3</v>
      </c>
      <c r="D16" s="143">
        <f t="shared" si="1"/>
        <v>0.12619751248530636</v>
      </c>
      <c r="E16" s="144">
        <f t="shared" si="2"/>
        <v>854.19630901850269</v>
      </c>
      <c r="F16" s="144">
        <f t="shared" si="3"/>
        <v>2792.3020571522475</v>
      </c>
      <c r="G16" s="144">
        <f t="shared" si="9"/>
        <v>1938.1057481337448</v>
      </c>
      <c r="H16" s="143">
        <f t="shared" si="4"/>
        <v>2.3345783423407878</v>
      </c>
      <c r="I16" s="143">
        <f t="shared" si="5"/>
        <v>6.4273114861206135</v>
      </c>
      <c r="J16" s="143">
        <f t="shared" si="6"/>
        <v>4.4960381024991669</v>
      </c>
      <c r="K16" s="143">
        <f t="shared" si="7"/>
        <v>2.9960840576668146</v>
      </c>
    </row>
    <row r="17" spans="1:11" ht="12.95" customHeight="1" x14ac:dyDescent="0.2">
      <c r="A17" s="137">
        <f t="shared" si="10"/>
        <v>200.49999999999997</v>
      </c>
      <c r="B17" s="141">
        <f t="shared" si="8"/>
        <v>15.709979850241616</v>
      </c>
      <c r="C17" s="142">
        <f t="shared" si="0"/>
        <v>1.1572959638339283E-3</v>
      </c>
      <c r="D17" s="143">
        <f t="shared" si="1"/>
        <v>0.1259428438259938</v>
      </c>
      <c r="E17" s="144">
        <f t="shared" si="2"/>
        <v>854.64724675530658</v>
      </c>
      <c r="F17" s="144">
        <f t="shared" si="3"/>
        <v>2792.3618148356927</v>
      </c>
      <c r="G17" s="144">
        <f t="shared" si="9"/>
        <v>1937.714568080386</v>
      </c>
      <c r="H17" s="143">
        <f t="shared" si="4"/>
        <v>2.3355224868653215</v>
      </c>
      <c r="I17" s="143">
        <f t="shared" si="5"/>
        <v>6.4265656433297291</v>
      </c>
      <c r="J17" s="143">
        <f t="shared" si="6"/>
        <v>4.496546743451086</v>
      </c>
      <c r="K17" s="143">
        <f t="shared" si="7"/>
        <v>2.997603490520917</v>
      </c>
    </row>
    <row r="18" spans="1:11" ht="12.95" customHeight="1" x14ac:dyDescent="0.2">
      <c r="A18" s="137">
        <f t="shared" si="10"/>
        <v>200.59999999999997</v>
      </c>
      <c r="B18" s="141">
        <f t="shared" si="8"/>
        <v>15.742791854400874</v>
      </c>
      <c r="C18" s="142">
        <f t="shared" si="0"/>
        <v>1.1574527179084551E-3</v>
      </c>
      <c r="D18" s="143">
        <f t="shared" si="1"/>
        <v>0.12568878512975401</v>
      </c>
      <c r="E18" s="144">
        <f t="shared" si="2"/>
        <v>855.09823562112683</v>
      </c>
      <c r="F18" s="144">
        <f t="shared" si="3"/>
        <v>2792.4214260273407</v>
      </c>
      <c r="G18" s="144">
        <f t="shared" si="9"/>
        <v>1937.3231904062138</v>
      </c>
      <c r="H18" s="143">
        <f t="shared" si="4"/>
        <v>2.3364665258973925</v>
      </c>
      <c r="I18" s="143">
        <f t="shared" si="5"/>
        <v>6.4258199911591571</v>
      </c>
      <c r="J18" s="143">
        <f t="shared" si="6"/>
        <v>4.4970560884546069</v>
      </c>
      <c r="K18" s="143">
        <f t="shared" si="7"/>
        <v>2.9991245281028274</v>
      </c>
    </row>
    <row r="19" spans="1:11" ht="12.95" customHeight="1" x14ac:dyDescent="0.2">
      <c r="A19" s="137">
        <f t="shared" si="10"/>
        <v>200.69999999999996</v>
      </c>
      <c r="B19" s="141">
        <f t="shared" si="8"/>
        <v>15.775657254731069</v>
      </c>
      <c r="C19" s="142">
        <f t="shared" si="0"/>
        <v>1.1576095849151658E-3</v>
      </c>
      <c r="D19" s="143">
        <f t="shared" si="1"/>
        <v>0.12543533467421372</v>
      </c>
      <c r="E19" s="144">
        <f t="shared" si="2"/>
        <v>855.54927568001654</v>
      </c>
      <c r="F19" s="144">
        <f t="shared" si="3"/>
        <v>2792.4808906013668</v>
      </c>
      <c r="G19" s="144">
        <f t="shared" si="9"/>
        <v>1936.9316149213503</v>
      </c>
      <c r="H19" s="143">
        <f t="shared" si="4"/>
        <v>2.3374104595978111</v>
      </c>
      <c r="I19" s="143">
        <f t="shared" si="5"/>
        <v>6.4250745291818152</v>
      </c>
      <c r="J19" s="143">
        <f t="shared" si="6"/>
        <v>4.497566138620444</v>
      </c>
      <c r="K19" s="143">
        <f t="shared" si="7"/>
        <v>3.0006471729719193</v>
      </c>
    </row>
    <row r="20" spans="1:11" ht="12.95" customHeight="1" x14ac:dyDescent="0.2">
      <c r="A20" s="137">
        <f t="shared" si="10"/>
        <v>200.79999999999995</v>
      </c>
      <c r="B20" s="141">
        <f t="shared" si="8"/>
        <v>15.808576110990293</v>
      </c>
      <c r="C20" s="142">
        <f t="shared" si="0"/>
        <v>1.1577665649720702E-3</v>
      </c>
      <c r="D20" s="143">
        <f t="shared" si="1"/>
        <v>0.12518249074255425</v>
      </c>
      <c r="E20" s="144">
        <f t="shared" si="2"/>
        <v>856.00036699610462</v>
      </c>
      <c r="F20" s="144">
        <f t="shared" si="3"/>
        <v>2792.5402084318071</v>
      </c>
      <c r="G20" s="144">
        <f t="shared" si="9"/>
        <v>1936.5398414357023</v>
      </c>
      <c r="H20" s="143">
        <f t="shared" si="4"/>
        <v>2.3383542881274448</v>
      </c>
      <c r="I20" s="143">
        <f t="shared" si="5"/>
        <v>6.4243292569707213</v>
      </c>
      <c r="J20" s="143">
        <f t="shared" si="6"/>
        <v>4.4980768950615673</v>
      </c>
      <c r="K20" s="143">
        <f t="shared" si="7"/>
        <v>3.0021714276923421</v>
      </c>
    </row>
    <row r="21" spans="1:11" ht="12.95" customHeight="1" x14ac:dyDescent="0.2">
      <c r="A21" s="137">
        <f t="shared" si="10"/>
        <v>200.89999999999995</v>
      </c>
      <c r="B21" s="141">
        <f t="shared" si="8"/>
        <v>15.841548482968689</v>
      </c>
      <c r="C21" s="142">
        <f t="shared" si="0"/>
        <v>1.1579236581973872E-3</v>
      </c>
      <c r="D21" s="143">
        <f t="shared" si="1"/>
        <v>0.12493025162348671</v>
      </c>
      <c r="E21" s="144">
        <f t="shared" si="2"/>
        <v>856.45150963361084</v>
      </c>
      <c r="F21" s="144">
        <f t="shared" si="3"/>
        <v>2792.5993793925641</v>
      </c>
      <c r="G21" s="144">
        <f t="shared" si="9"/>
        <v>1936.1478697589532</v>
      </c>
      <c r="H21" s="143">
        <f t="shared" si="4"/>
        <v>2.33929801164722</v>
      </c>
      <c r="I21" s="143">
        <f t="shared" si="5"/>
        <v>6.4235841740989734</v>
      </c>
      <c r="J21" s="143">
        <f t="shared" si="6"/>
        <v>4.4985883588931808</v>
      </c>
      <c r="K21" s="143">
        <f t="shared" si="7"/>
        <v>3.0036972948331022</v>
      </c>
    </row>
    <row r="22" spans="1:11" ht="12.95" customHeight="1" x14ac:dyDescent="0.2">
      <c r="A22" s="140">
        <f t="shared" si="10"/>
        <v>200.99999999999994</v>
      </c>
      <c r="B22" s="141">
        <f t="shared" si="8"/>
        <v>15.874574430488106</v>
      </c>
      <c r="C22" s="142">
        <f t="shared" si="0"/>
        <v>1.1580808647095517E-3</v>
      </c>
      <c r="D22" s="143">
        <f t="shared" si="1"/>
        <v>0.12467861561123471</v>
      </c>
      <c r="E22" s="144">
        <f t="shared" si="2"/>
        <v>856.90270365684387</v>
      </c>
      <c r="F22" s="144">
        <f t="shared" si="3"/>
        <v>2792.6584033574022</v>
      </c>
      <c r="G22" s="144">
        <f t="shared" si="9"/>
        <v>1935.7556997005584</v>
      </c>
      <c r="H22" s="143">
        <f t="shared" si="4"/>
        <v>2.3402416303181131</v>
      </c>
      <c r="I22" s="143">
        <f t="shared" si="5"/>
        <v>6.4228392801397653</v>
      </c>
      <c r="J22" s="143">
        <f t="shared" si="6"/>
        <v>4.4991005312327426</v>
      </c>
      <c r="K22" s="143">
        <f t="shared" si="7"/>
        <v>3.0052247769680105</v>
      </c>
    </row>
    <row r="23" spans="1:11" ht="12.95" customHeight="1" x14ac:dyDescent="0.2">
      <c r="A23" s="145"/>
      <c r="B23" s="146"/>
      <c r="C23" s="147"/>
      <c r="D23" s="148"/>
      <c r="E23" s="149"/>
      <c r="F23" s="149"/>
      <c r="G23" s="149"/>
      <c r="H23" s="148"/>
      <c r="I23" s="148"/>
      <c r="J23" s="148"/>
      <c r="K23" s="148"/>
    </row>
    <row r="24" spans="1:11" ht="12.95" customHeight="1" x14ac:dyDescent="0.2"/>
    <row r="25" spans="1:11" ht="12.95" customHeight="1" x14ac:dyDescent="0.2">
      <c r="A25" s="145"/>
      <c r="B25" s="146"/>
      <c r="C25" s="147"/>
      <c r="D25" s="148"/>
      <c r="E25" s="149"/>
      <c r="F25" s="149"/>
      <c r="G25" s="149"/>
      <c r="H25" s="148"/>
      <c r="I25" s="148"/>
      <c r="J25" s="148"/>
      <c r="K25" s="148"/>
    </row>
    <row r="26" spans="1:11" ht="12.95" customHeight="1" x14ac:dyDescent="0.2">
      <c r="A26" s="164" t="s">
        <v>362</v>
      </c>
      <c r="B26" s="156"/>
    </row>
    <row r="27" spans="1:11" ht="12.95" customHeight="1" x14ac:dyDescent="0.2"/>
    <row r="28" spans="1:11" ht="12.95" customHeight="1" x14ac:dyDescent="0.2">
      <c r="A28" s="136" t="s">
        <v>14</v>
      </c>
      <c r="B28" s="137">
        <v>9.58</v>
      </c>
    </row>
    <row r="29" spans="1:11" ht="12.95" customHeight="1" x14ac:dyDescent="0.2"/>
    <row r="30" spans="1:11" ht="12.95" customHeight="1" x14ac:dyDescent="0.2">
      <c r="A30" s="139" t="s">
        <v>2</v>
      </c>
      <c r="B30" s="157" t="str">
        <f>IF(B28&lt;0,"Zadaný tlak je mimo platný rozsah!",IF(B28&gt;220.6,"Zadaný tlak je mimo rozsah hodnot T = 373,931079326 °C a P = 220,6 bara.",""))</f>
        <v/>
      </c>
      <c r="C30" s="158"/>
      <c r="D30" s="158"/>
      <c r="E30" s="158"/>
      <c r="F30" s="158"/>
      <c r="G30" s="158"/>
      <c r="H30" s="158"/>
      <c r="I30" s="158"/>
      <c r="J30" s="158"/>
      <c r="K30" s="159"/>
    </row>
    <row r="31" spans="1:11" ht="12.95" customHeight="1" x14ac:dyDescent="0.2"/>
    <row r="32" spans="1:11" ht="12.95" customHeight="1" x14ac:dyDescent="0.2">
      <c r="A32" s="163" t="s">
        <v>4</v>
      </c>
      <c r="B32" s="163" t="s">
        <v>3</v>
      </c>
      <c r="C32" s="163" t="s">
        <v>5</v>
      </c>
      <c r="D32" s="163" t="s">
        <v>6</v>
      </c>
      <c r="E32" s="163" t="s">
        <v>7</v>
      </c>
      <c r="F32" s="163" t="s">
        <v>8</v>
      </c>
      <c r="G32" s="163" t="s">
        <v>9</v>
      </c>
      <c r="H32" s="163" t="s">
        <v>10</v>
      </c>
      <c r="I32" s="163" t="s">
        <v>11</v>
      </c>
      <c r="J32" s="163" t="s">
        <v>12</v>
      </c>
      <c r="K32" s="163" t="s">
        <v>13</v>
      </c>
    </row>
    <row r="33" spans="1:11" ht="12.95" customHeight="1" x14ac:dyDescent="0.2">
      <c r="A33" s="163"/>
      <c r="B33" s="163"/>
      <c r="C33" s="163"/>
      <c r="D33" s="163"/>
      <c r="E33" s="163"/>
      <c r="F33" s="163"/>
      <c r="G33" s="163"/>
      <c r="H33" s="163"/>
      <c r="I33" s="163"/>
      <c r="J33" s="163"/>
      <c r="K33" s="163"/>
    </row>
    <row r="34" spans="1:11" ht="12.95" customHeight="1" x14ac:dyDescent="0.2">
      <c r="A34" s="163"/>
      <c r="B34" s="163"/>
      <c r="C34" s="163"/>
      <c r="D34" s="163"/>
      <c r="E34" s="163"/>
      <c r="F34" s="163"/>
      <c r="G34" s="163"/>
      <c r="H34" s="163"/>
      <c r="I34" s="163"/>
      <c r="J34" s="163"/>
      <c r="K34" s="163"/>
    </row>
    <row r="35" spans="1:11" ht="12.95" customHeight="1" x14ac:dyDescent="0.2">
      <c r="A35" s="140">
        <f>B28</f>
        <v>9.58</v>
      </c>
      <c r="B35" s="144">
        <f t="shared" ref="B35:B45" si="11">Tsat_p(A35)</f>
        <v>178.02952623347142</v>
      </c>
      <c r="C35" s="142">
        <f t="shared" ref="C35:C45" si="12">1/rhoL_P(A35)</f>
        <v>1.1247315964524045E-3</v>
      </c>
      <c r="D35" s="143">
        <f t="shared" ref="D35:D45" si="13">1/rhoV_p(A35)</f>
        <v>0.2024657662346267</v>
      </c>
      <c r="E35" s="144">
        <f t="shared" ref="E35:E45" si="14">hL_p(A35)</f>
        <v>754.49172892679644</v>
      </c>
      <c r="F35" s="144">
        <f t="shared" ref="F35:F45" si="15">hV_p(A35)</f>
        <v>2775.4762433570295</v>
      </c>
      <c r="G35" s="144">
        <f>F35-E35</f>
        <v>2020.984514430233</v>
      </c>
      <c r="H35" s="143">
        <f t="shared" ref="H35:H45" si="16">sL_p(A35)</f>
        <v>2.1204183121025379</v>
      </c>
      <c r="I35" s="143">
        <f t="shared" ref="I35:I45" si="17">sV_p(A35)</f>
        <v>6.5997707792442979</v>
      </c>
      <c r="J35" s="143">
        <f t="shared" ref="J35:J45" si="18">CpL_p(A35)</f>
        <v>4.3980621431054479</v>
      </c>
      <c r="K35" s="143">
        <f t="shared" ref="K35:K45" si="19">CpV_p(A35)</f>
        <v>2.6922542626627828</v>
      </c>
    </row>
    <row r="36" spans="1:11" ht="12.95" customHeight="1" x14ac:dyDescent="0.2">
      <c r="A36" s="137">
        <f>A35+0.1</f>
        <v>9.68</v>
      </c>
      <c r="B36" s="144">
        <f t="shared" si="11"/>
        <v>178.47718775116721</v>
      </c>
      <c r="C36" s="142">
        <f t="shared" si="12"/>
        <v>1.1253321832094623E-3</v>
      </c>
      <c r="D36" s="143">
        <f t="shared" si="13"/>
        <v>0.20047156794544638</v>
      </c>
      <c r="E36" s="144">
        <f t="shared" si="14"/>
        <v>756.46605833896422</v>
      </c>
      <c r="F36" s="144">
        <f t="shared" si="15"/>
        <v>2775.8764281555473</v>
      </c>
      <c r="G36" s="144">
        <f t="shared" ref="G36:G45" si="20">F36-E36</f>
        <v>2019.4103698165832</v>
      </c>
      <c r="H36" s="143">
        <f t="shared" si="16"/>
        <v>2.124767148160418</v>
      </c>
      <c r="I36" s="143">
        <f t="shared" si="17"/>
        <v>6.5961942245460241</v>
      </c>
      <c r="J36" s="143">
        <f t="shared" si="18"/>
        <v>4.3997464667433501</v>
      </c>
      <c r="K36" s="143">
        <f t="shared" si="19"/>
        <v>2.6976990810782198</v>
      </c>
    </row>
    <row r="37" spans="1:11" ht="12.95" customHeight="1" x14ac:dyDescent="0.2">
      <c r="A37" s="137">
        <f t="shared" ref="A37:A45" si="21">A36+0.1</f>
        <v>9.7799999999999994</v>
      </c>
      <c r="B37" s="144">
        <f t="shared" si="11"/>
        <v>178.92121839619006</v>
      </c>
      <c r="C37" s="142">
        <f t="shared" si="12"/>
        <v>1.1259297081187595E-3</v>
      </c>
      <c r="D37" s="143">
        <f t="shared" si="13"/>
        <v>0.19851672015958638</v>
      </c>
      <c r="E37" s="144">
        <f t="shared" si="14"/>
        <v>758.42514347371866</v>
      </c>
      <c r="F37" s="144">
        <f t="shared" si="15"/>
        <v>2776.2709559042401</v>
      </c>
      <c r="G37" s="144">
        <f t="shared" si="20"/>
        <v>2017.8458124305214</v>
      </c>
      <c r="H37" s="143">
        <f t="shared" si="16"/>
        <v>2.1290779423619592</v>
      </c>
      <c r="I37" s="143">
        <f t="shared" si="17"/>
        <v>6.5926523756468036</v>
      </c>
      <c r="J37" s="143">
        <f t="shared" si="18"/>
        <v>4.4014271267935481</v>
      </c>
      <c r="K37" s="143">
        <f t="shared" si="19"/>
        <v>2.7031231493328884</v>
      </c>
    </row>
    <row r="38" spans="1:11" ht="12.95" customHeight="1" x14ac:dyDescent="0.2">
      <c r="A38" s="137">
        <f t="shared" si="21"/>
        <v>9.879999999999999</v>
      </c>
      <c r="B38" s="144">
        <f t="shared" si="11"/>
        <v>179.3616851449882</v>
      </c>
      <c r="C38" s="142">
        <f t="shared" si="12"/>
        <v>1.1265242244050718E-3</v>
      </c>
      <c r="D38" s="143">
        <f t="shared" si="13"/>
        <v>0.19660005560346999</v>
      </c>
      <c r="E38" s="144">
        <f t="shared" si="14"/>
        <v>760.36926541956962</v>
      </c>
      <c r="F38" s="144">
        <f t="shared" si="15"/>
        <v>2776.6599358303883</v>
      </c>
      <c r="G38" s="144">
        <f t="shared" si="20"/>
        <v>2016.2906704108186</v>
      </c>
      <c r="H38" s="143">
        <f t="shared" si="16"/>
        <v>2.1333514252346379</v>
      </c>
      <c r="I38" s="143">
        <f t="shared" si="17"/>
        <v>6.5891445206919599</v>
      </c>
      <c r="J38" s="143">
        <f t="shared" si="18"/>
        <v>4.4031041982358463</v>
      </c>
      <c r="K38" s="143">
        <f t="shared" si="19"/>
        <v>2.7085268220628937</v>
      </c>
    </row>
    <row r="39" spans="1:11" ht="12.95" customHeight="1" x14ac:dyDescent="0.2">
      <c r="A39" s="137">
        <f t="shared" si="21"/>
        <v>9.9799999999999986</v>
      </c>
      <c r="B39" s="144">
        <f t="shared" si="11"/>
        <v>179.79865306909068</v>
      </c>
      <c r="C39" s="142">
        <f t="shared" si="12"/>
        <v>1.1271157838671601E-3</v>
      </c>
      <c r="D39" s="143">
        <f t="shared" si="13"/>
        <v>0.19472045298790541</v>
      </c>
      <c r="E39" s="144">
        <f t="shared" si="14"/>
        <v>762.29869728303538</v>
      </c>
      <c r="F39" s="144">
        <f t="shared" si="15"/>
        <v>2777.0434739613479</v>
      </c>
      <c r="G39" s="144">
        <f t="shared" si="20"/>
        <v>2014.7447766783125</v>
      </c>
      <c r="H39" s="143">
        <f t="shared" si="16"/>
        <v>2.1375883060258087</v>
      </c>
      <c r="I39" s="143">
        <f t="shared" si="17"/>
        <v>6.5856699694328231</v>
      </c>
      <c r="J39" s="143">
        <f t="shared" si="18"/>
        <v>4.4047777541208806</v>
      </c>
      <c r="K39" s="143">
        <f t="shared" si="19"/>
        <v>2.7139104467259934</v>
      </c>
    </row>
    <row r="40" spans="1:11" ht="12.95" customHeight="1" x14ac:dyDescent="0.2">
      <c r="A40" s="137">
        <f t="shared" si="21"/>
        <v>10.079999999999998</v>
      </c>
      <c r="B40" s="144">
        <f t="shared" si="11"/>
        <v>180.23218540786831</v>
      </c>
      <c r="C40" s="142">
        <f t="shared" si="12"/>
        <v>1.1277044369298439E-3</v>
      </c>
      <c r="D40" s="143">
        <f t="shared" si="13"/>
        <v>0.19287683475791362</v>
      </c>
      <c r="E40" s="144">
        <f t="shared" si="14"/>
        <v>764.21370449320045</v>
      </c>
      <c r="F40" s="144">
        <f t="shared" si="15"/>
        <v>2777.4216732490763</v>
      </c>
      <c r="G40" s="144">
        <f t="shared" si="20"/>
        <v>2013.2079687558758</v>
      </c>
      <c r="H40" s="143">
        <f t="shared" si="16"/>
        <v>2.1417892735295703</v>
      </c>
      <c r="I40" s="143">
        <f t="shared" si="17"/>
        <v>6.5822280523617849</v>
      </c>
      <c r="J40" s="143">
        <f t="shared" si="18"/>
        <v>4.4064478656385839</v>
      </c>
      <c r="K40" s="143">
        <f t="shared" si="19"/>
        <v>2.7192743637620405</v>
      </c>
    </row>
    <row r="41" spans="1:11" ht="12.95" customHeight="1" x14ac:dyDescent="0.2">
      <c r="A41" s="137">
        <f t="shared" si="21"/>
        <v>10.179999999999998</v>
      </c>
      <c r="B41" s="144">
        <f t="shared" si="11"/>
        <v>180.66234363781172</v>
      </c>
      <c r="C41" s="142">
        <f t="shared" si="12"/>
        <v>1.1282902326936715E-3</v>
      </c>
      <c r="D41" s="143">
        <f t="shared" si="13"/>
        <v>0.19106816497370049</v>
      </c>
      <c r="E41" s="144">
        <f t="shared" si="14"/>
        <v>766.11454509170687</v>
      </c>
      <c r="F41" s="144">
        <f t="shared" si="15"/>
        <v>2777.794633688628</v>
      </c>
      <c r="G41" s="144">
        <f t="shared" si="20"/>
        <v>2011.680088596921</v>
      </c>
      <c r="H41" s="143">
        <f t="shared" si="16"/>
        <v>2.1459549968735407</v>
      </c>
      <c r="I41" s="143">
        <f t="shared" si="17"/>
        <v>6.5788181198901414</v>
      </c>
      <c r="J41" s="143">
        <f t="shared" si="18"/>
        <v>4.4081146021835522</v>
      </c>
      <c r="K41" s="143">
        <f t="shared" si="19"/>
        <v>2.7246189067498965</v>
      </c>
    </row>
    <row r="42" spans="1:11" ht="12.95" customHeight="1" x14ac:dyDescent="0.2">
      <c r="A42" s="137">
        <f t="shared" si="21"/>
        <v>10.279999999999998</v>
      </c>
      <c r="B42" s="144">
        <f t="shared" si="11"/>
        <v>181.0891875385451</v>
      </c>
      <c r="C42" s="142">
        <f t="shared" si="12"/>
        <v>1.1288732189823378E-3</v>
      </c>
      <c r="D42" s="143">
        <f t="shared" si="13"/>
        <v>0.1892934473139401</v>
      </c>
      <c r="E42" s="144">
        <f t="shared" si="14"/>
        <v>768.00147000909169</v>
      </c>
      <c r="F42" s="144">
        <f t="shared" si="15"/>
        <v>2778.1624524310078</v>
      </c>
      <c r="G42" s="144">
        <f t="shared" si="20"/>
        <v>2010.1609824219161</v>
      </c>
      <c r="H42" s="143">
        <f t="shared" si="16"/>
        <v>2.1500861262680422</v>
      </c>
      <c r="I42" s="143">
        <f t="shared" si="17"/>
        <v>6.5754395415663529</v>
      </c>
      <c r="J42" s="143">
        <f t="shared" si="18"/>
        <v>4.4097780314175656</v>
      </c>
      <c r="K42" s="143">
        <f t="shared" si="19"/>
        <v>2.7299444025603883</v>
      </c>
    </row>
    <row r="43" spans="1:11" ht="12.95" customHeight="1" x14ac:dyDescent="0.2">
      <c r="A43" s="137">
        <f t="shared" si="21"/>
        <v>10.379999999999997</v>
      </c>
      <c r="B43" s="144">
        <f t="shared" si="11"/>
        <v>181.51277525574204</v>
      </c>
      <c r="C43" s="142">
        <f t="shared" si="12"/>
        <v>1.1294534423879554E-3</v>
      </c>
      <c r="D43" s="143">
        <f t="shared" si="13"/>
        <v>0.18755172319318728</v>
      </c>
      <c r="E43" s="144">
        <f t="shared" si="14"/>
        <v>769.87472332816765</v>
      </c>
      <c r="F43" s="144">
        <f t="shared" si="15"/>
        <v>2778.5252238906501</v>
      </c>
      <c r="G43" s="144">
        <f t="shared" si="20"/>
        <v>2008.6505005624824</v>
      </c>
      <c r="H43" s="143">
        <f t="shared" si="16"/>
        <v>2.1541832937196794</v>
      </c>
      <c r="I43" s="143">
        <f t="shared" si="17"/>
        <v>6.5720917053321992</v>
      </c>
      <c r="J43" s="143">
        <f t="shared" si="18"/>
        <v>4.4114382193293951</v>
      </c>
      <c r="K43" s="143">
        <f t="shared" si="19"/>
        <v>2.7352511715058885</v>
      </c>
    </row>
    <row r="44" spans="1:11" ht="12.95" customHeight="1" x14ac:dyDescent="0.2">
      <c r="A44" s="137">
        <f t="shared" si="21"/>
        <v>10.479999999999997</v>
      </c>
      <c r="B44" s="144">
        <f t="shared" si="11"/>
        <v>181.93316336112935</v>
      </c>
      <c r="C44" s="142">
        <f t="shared" si="12"/>
        <v>1.1300309483143055E-3</v>
      </c>
      <c r="D44" s="143">
        <f t="shared" si="13"/>
        <v>0.18584206998587524</v>
      </c>
      <c r="E44" s="144">
        <f t="shared" si="14"/>
        <v>771.73454253522095</v>
      </c>
      <c r="F44" s="144">
        <f t="shared" si="15"/>
        <v>2778.8830398478781</v>
      </c>
      <c r="G44" s="144">
        <f t="shared" si="20"/>
        <v>2007.1484973126571</v>
      </c>
      <c r="H44" s="143">
        <f t="shared" si="16"/>
        <v>2.158247113711425</v>
      </c>
      <c r="I44" s="143">
        <f t="shared" si="17"/>
        <v>6.5687740168147659</v>
      </c>
      <c r="J44" s="143">
        <f t="shared" si="18"/>
        <v>4.4130952302919519</v>
      </c>
      <c r="K44" s="143">
        <f t="shared" si="19"/>
        <v>2.7405395274862849</v>
      </c>
    </row>
    <row r="45" spans="1:11" ht="12.95" customHeight="1" x14ac:dyDescent="0.2">
      <c r="A45" s="140">
        <f t="shared" si="21"/>
        <v>10.579999999999997</v>
      </c>
      <c r="B45" s="144">
        <f t="shared" si="11"/>
        <v>182.35040690973284</v>
      </c>
      <c r="C45" s="142">
        <f t="shared" si="12"/>
        <v>1.1306057810181668E-3</v>
      </c>
      <c r="D45" s="143">
        <f t="shared" si="13"/>
        <v>0.18416359934990781</v>
      </c>
      <c r="E45" s="144">
        <f t="shared" si="14"/>
        <v>773.58115875967326</v>
      </c>
      <c r="F45" s="144">
        <f t="shared" si="15"/>
        <v>2779.2359895465675</v>
      </c>
      <c r="G45" s="144">
        <f t="shared" si="20"/>
        <v>2005.6548307868943</v>
      </c>
      <c r="H45" s="143">
        <f t="shared" si="16"/>
        <v>2.1622781838510412</v>
      </c>
      <c r="I45" s="143">
        <f t="shared" si="17"/>
        <v>6.5654858986521383</v>
      </c>
      <c r="J45" s="143">
        <f t="shared" si="18"/>
        <v>4.4147491271170338</v>
      </c>
      <c r="K45" s="143">
        <f t="shared" si="19"/>
        <v>2.745809778131604</v>
      </c>
    </row>
    <row r="46" spans="1:11" ht="12.95" customHeight="1" x14ac:dyDescent="0.2">
      <c r="A46" s="145"/>
      <c r="B46" s="149"/>
      <c r="C46" s="147"/>
      <c r="D46" s="148"/>
      <c r="E46" s="149"/>
      <c r="F46" s="149"/>
      <c r="G46" s="149"/>
      <c r="H46" s="148"/>
      <c r="I46" s="148"/>
      <c r="J46" s="148"/>
      <c r="K46" s="148"/>
    </row>
    <row r="47" spans="1:11" ht="12.95" customHeight="1" x14ac:dyDescent="0.2">
      <c r="A47" s="145"/>
      <c r="B47" s="149"/>
      <c r="C47" s="147"/>
      <c r="D47" s="148"/>
      <c r="E47" s="149"/>
      <c r="F47" s="149"/>
      <c r="G47" s="149"/>
      <c r="H47" s="148"/>
      <c r="I47" s="148"/>
      <c r="J47" s="148"/>
      <c r="K47" s="148"/>
    </row>
    <row r="48" spans="1:11" ht="12.95" customHeight="1" x14ac:dyDescent="0.2"/>
    <row r="49" spans="1:11" s="133" customFormat="1" ht="12.95" customHeight="1" x14ac:dyDescent="0.25">
      <c r="A49" s="155" t="s">
        <v>15</v>
      </c>
      <c r="B49" s="155"/>
      <c r="C49" s="155"/>
      <c r="D49" s="155"/>
      <c r="E49" s="155"/>
      <c r="F49" s="155"/>
      <c r="G49" s="155"/>
      <c r="H49" s="155"/>
      <c r="I49" s="155"/>
      <c r="J49" s="155"/>
      <c r="K49" s="155"/>
    </row>
    <row r="50" spans="1:11" ht="12.95" customHeight="1" x14ac:dyDescent="0.2"/>
    <row r="51" spans="1:11" ht="12.95" customHeight="1" x14ac:dyDescent="0.2">
      <c r="A51" s="160" t="s">
        <v>16</v>
      </c>
      <c r="B51" s="160"/>
      <c r="C51" s="160"/>
    </row>
    <row r="52" spans="1:11" ht="12.95" customHeight="1" x14ac:dyDescent="0.2"/>
    <row r="53" spans="1:11" ht="12.95" customHeight="1" x14ac:dyDescent="0.2">
      <c r="A53" s="136" t="s">
        <v>17</v>
      </c>
      <c r="B53" s="137">
        <v>276.7</v>
      </c>
    </row>
    <row r="54" spans="1:11" ht="12.95" customHeight="1" x14ac:dyDescent="0.2">
      <c r="A54" s="136" t="s">
        <v>18</v>
      </c>
      <c r="B54" s="137">
        <v>61</v>
      </c>
    </row>
    <row r="55" spans="1:11" ht="12.95" customHeight="1" x14ac:dyDescent="0.2">
      <c r="A55" s="136" t="s">
        <v>19</v>
      </c>
      <c r="B55" s="137">
        <v>23</v>
      </c>
    </row>
    <row r="56" spans="1:11" ht="12.95" customHeight="1" x14ac:dyDescent="0.2">
      <c r="A56" s="136" t="s">
        <v>20</v>
      </c>
      <c r="B56" s="137">
        <v>0.75575000000000003</v>
      </c>
    </row>
    <row r="57" spans="1:11" ht="12.95" customHeight="1" x14ac:dyDescent="0.2"/>
    <row r="58" spans="1:11" ht="12.95" customHeight="1" x14ac:dyDescent="0.2">
      <c r="A58" s="150"/>
      <c r="B58" s="163" t="s">
        <v>3</v>
      </c>
      <c r="C58" s="163" t="s">
        <v>21</v>
      </c>
      <c r="D58" s="163" t="s">
        <v>22</v>
      </c>
      <c r="E58" s="163" t="s">
        <v>23</v>
      </c>
      <c r="F58" s="163" t="s">
        <v>24</v>
      </c>
      <c r="G58" s="163" t="s">
        <v>25</v>
      </c>
      <c r="H58" s="163" t="s">
        <v>26</v>
      </c>
      <c r="I58" s="163" t="s">
        <v>27</v>
      </c>
      <c r="J58" s="163" t="s">
        <v>28</v>
      </c>
    </row>
    <row r="59" spans="1:11" ht="12.95" customHeight="1" x14ac:dyDescent="0.2">
      <c r="A59" s="150"/>
      <c r="B59" s="163"/>
      <c r="C59" s="163"/>
      <c r="D59" s="163"/>
      <c r="E59" s="163"/>
      <c r="F59" s="163"/>
      <c r="G59" s="163"/>
      <c r="H59" s="163"/>
      <c r="I59" s="163"/>
      <c r="J59" s="163"/>
    </row>
    <row r="60" spans="1:11" ht="12.95" customHeight="1" x14ac:dyDescent="0.2">
      <c r="A60" s="150"/>
      <c r="B60" s="163"/>
      <c r="C60" s="163"/>
      <c r="D60" s="163"/>
      <c r="E60" s="163"/>
      <c r="F60" s="163"/>
      <c r="G60" s="163"/>
      <c r="H60" s="163"/>
      <c r="I60" s="163"/>
      <c r="J60" s="163"/>
    </row>
    <row r="61" spans="1:11" ht="12.95" customHeight="1" x14ac:dyDescent="0.2">
      <c r="A61" s="137">
        <v>1</v>
      </c>
      <c r="B61" s="137">
        <f>B53</f>
        <v>276.7</v>
      </c>
      <c r="C61" s="137">
        <f>B54</f>
        <v>61</v>
      </c>
      <c r="D61" s="144">
        <f>h_pT(C61,B61)</f>
        <v>2783.6216528523987</v>
      </c>
      <c r="E61" s="143">
        <f>1/rho_pT(C61,B61)</f>
        <v>3.1876047863933839E-2</v>
      </c>
      <c r="F61" s="143">
        <f>s_pT(C61,B61)</f>
        <v>5.8825016266927523</v>
      </c>
      <c r="G61" s="137">
        <f>x_ph(C61,D61)*100</f>
        <v>100</v>
      </c>
      <c r="H61" s="143">
        <f>Cp_pT(C61,B61)</f>
        <v>4.9193542814437432</v>
      </c>
      <c r="I61" s="137">
        <f>region_pt(C61/10,B61+273.15)</f>
        <v>2</v>
      </c>
      <c r="J61" s="153" t="str">
        <f>IF(I61=1,"Voda",IF(I61=2,"Pára",IF(I61=4,"Mokrá pára")))</f>
        <v>Pára</v>
      </c>
    </row>
    <row r="62" spans="1:11" ht="12.95" customHeight="1" x14ac:dyDescent="0.2">
      <c r="A62" s="137" t="s">
        <v>29</v>
      </c>
      <c r="B62" s="144">
        <f>Tsat_p(C62)</f>
        <v>219.56379854539261</v>
      </c>
      <c r="C62" s="137">
        <f>B55</f>
        <v>23</v>
      </c>
      <c r="D62" s="144">
        <f>h_ps(C62,F61)</f>
        <v>2601.4399060206574</v>
      </c>
      <c r="E62" s="143">
        <f>v_ps(C62,F61)</f>
        <v>7.7625928957294255E-2</v>
      </c>
      <c r="F62" s="143">
        <f>s_ph(C62,D62)</f>
        <v>5.8825016266927523</v>
      </c>
      <c r="G62" s="144">
        <f>x_ph(C62,D62)*100</f>
        <v>89.270960059465139</v>
      </c>
      <c r="H62" s="137"/>
      <c r="I62" s="137">
        <f>region_pt(C62/10,B62+273.15)</f>
        <v>4</v>
      </c>
      <c r="J62" s="153" t="str">
        <f>IF(I62=1,"Voda",IF(I62=2,"Pára",IF(I62=4,"Mokrá pára")))</f>
        <v>Mokrá pára</v>
      </c>
    </row>
    <row r="63" spans="1:11" ht="12.95" customHeight="1" x14ac:dyDescent="0.2">
      <c r="A63" s="137">
        <v>2</v>
      </c>
      <c r="B63" s="144">
        <f>T_ph(C63,D63)</f>
        <v>219.56379854539261</v>
      </c>
      <c r="C63" s="137">
        <f>C62</f>
        <v>23</v>
      </c>
      <c r="D63" s="144">
        <f>D61-((D61-D62)*B56)</f>
        <v>2645.9377976843102</v>
      </c>
      <c r="E63" s="143">
        <f>v_ph(C63,D63)</f>
        <v>7.9675113911672132E-2</v>
      </c>
      <c r="F63" s="143">
        <f>s_ph(C63,D63)</f>
        <v>5.9728137045432179</v>
      </c>
      <c r="G63" s="151">
        <f>x_ph(C63,D63)*100</f>
        <v>91.664221919739347</v>
      </c>
      <c r="H63" s="143" t="e">
        <f>Cp_pT(C63,B63)</f>
        <v>#VALUE!</v>
      </c>
      <c r="I63" s="137">
        <f>region_pt(C63/10,B63+273.15)</f>
        <v>4</v>
      </c>
      <c r="J63" s="153" t="str">
        <f>IF(I63=1,"Voda",IF(I63=2,"Pára",IF(I63=4,"Mokrá pára")))</f>
        <v>Mokrá pára</v>
      </c>
    </row>
    <row r="64" spans="1:11" ht="12.95" customHeight="1" x14ac:dyDescent="0.2">
      <c r="B64" s="149"/>
      <c r="D64" s="149"/>
      <c r="E64" s="148"/>
      <c r="F64" s="148"/>
      <c r="G64" s="152"/>
      <c r="H64" s="148"/>
    </row>
    <row r="65" spans="1:10" ht="12.95" customHeight="1" x14ac:dyDescent="0.2">
      <c r="A65" s="161" t="s">
        <v>30</v>
      </c>
      <c r="B65" s="162"/>
      <c r="C65" s="154">
        <f>D61-D62</f>
        <v>182.18174683174129</v>
      </c>
      <c r="D65" s="149"/>
      <c r="E65" s="148"/>
      <c r="F65" s="148"/>
      <c r="G65" s="152"/>
      <c r="H65" s="148"/>
    </row>
    <row r="66" spans="1:10" ht="12.95" customHeight="1" x14ac:dyDescent="0.2">
      <c r="A66" s="161" t="s">
        <v>31</v>
      </c>
      <c r="B66" s="162"/>
      <c r="C66" s="154">
        <f>C65*B56</f>
        <v>137.68385516808848</v>
      </c>
      <c r="D66" s="149"/>
      <c r="E66" s="150"/>
      <c r="F66" s="148"/>
      <c r="G66" s="152"/>
      <c r="H66" s="148"/>
    </row>
    <row r="67" spans="1:10" ht="12.95" customHeight="1" x14ac:dyDescent="0.2">
      <c r="B67" s="149"/>
      <c r="D67" s="149"/>
      <c r="E67" s="148"/>
      <c r="F67" s="148"/>
      <c r="G67" s="152"/>
      <c r="H67" s="148"/>
    </row>
    <row r="68" spans="1:10" ht="12.95" customHeight="1" x14ac:dyDescent="0.2">
      <c r="B68" s="149"/>
      <c r="D68" s="149"/>
      <c r="E68" s="148"/>
      <c r="F68" s="148"/>
      <c r="G68" s="152"/>
      <c r="H68" s="148"/>
    </row>
    <row r="69" spans="1:10" ht="12.95" customHeight="1" x14ac:dyDescent="0.2"/>
    <row r="70" spans="1:10" ht="12.95" customHeight="1" x14ac:dyDescent="0.2">
      <c r="A70" s="156" t="s">
        <v>32</v>
      </c>
      <c r="B70" s="156"/>
    </row>
    <row r="71" spans="1:10" ht="12.95" customHeight="1" x14ac:dyDescent="0.2"/>
    <row r="72" spans="1:10" ht="12.95" customHeight="1" x14ac:dyDescent="0.2">
      <c r="A72" s="136" t="s">
        <v>33</v>
      </c>
      <c r="B72" s="137">
        <v>2709.16</v>
      </c>
    </row>
    <row r="73" spans="1:10" ht="12.95" customHeight="1" x14ac:dyDescent="0.2">
      <c r="A73" s="136" t="s">
        <v>18</v>
      </c>
      <c r="B73" s="137">
        <v>3.5</v>
      </c>
    </row>
    <row r="74" spans="1:10" ht="12.95" customHeight="1" x14ac:dyDescent="0.2">
      <c r="A74" s="136" t="s">
        <v>34</v>
      </c>
      <c r="B74" s="137">
        <v>7</v>
      </c>
    </row>
    <row r="75" spans="1:10" ht="12.95" customHeight="1" x14ac:dyDescent="0.2">
      <c r="A75" s="136" t="s">
        <v>20</v>
      </c>
      <c r="B75" s="137">
        <v>0.72160000000000002</v>
      </c>
    </row>
    <row r="76" spans="1:10" ht="12.95" customHeight="1" x14ac:dyDescent="0.2"/>
    <row r="77" spans="1:10" ht="12.95" customHeight="1" x14ac:dyDescent="0.2">
      <c r="A77" s="150"/>
      <c r="B77" s="163" t="s">
        <v>3</v>
      </c>
      <c r="C77" s="163" t="s">
        <v>21</v>
      </c>
      <c r="D77" s="163" t="s">
        <v>22</v>
      </c>
      <c r="E77" s="163" t="s">
        <v>23</v>
      </c>
      <c r="F77" s="163" t="s">
        <v>24</v>
      </c>
      <c r="G77" s="163" t="s">
        <v>25</v>
      </c>
      <c r="H77" s="163" t="s">
        <v>26</v>
      </c>
      <c r="I77" s="163" t="s">
        <v>27</v>
      </c>
      <c r="J77" s="163" t="s">
        <v>28</v>
      </c>
    </row>
    <row r="78" spans="1:10" ht="12.95" customHeight="1" x14ac:dyDescent="0.2">
      <c r="A78" s="150"/>
      <c r="B78" s="163"/>
      <c r="C78" s="163"/>
      <c r="D78" s="163"/>
      <c r="E78" s="163"/>
      <c r="F78" s="163"/>
      <c r="G78" s="163"/>
      <c r="H78" s="163"/>
      <c r="I78" s="163"/>
      <c r="J78" s="163"/>
    </row>
    <row r="79" spans="1:10" ht="12.95" customHeight="1" x14ac:dyDescent="0.2">
      <c r="A79" s="150"/>
      <c r="B79" s="163"/>
      <c r="C79" s="163"/>
      <c r="D79" s="163"/>
      <c r="E79" s="163"/>
      <c r="F79" s="163"/>
      <c r="G79" s="163"/>
      <c r="H79" s="163"/>
      <c r="I79" s="163"/>
      <c r="J79" s="163"/>
    </row>
    <row r="80" spans="1:10" ht="12.95" customHeight="1" x14ac:dyDescent="0.2">
      <c r="A80" s="137">
        <v>1</v>
      </c>
      <c r="B80" s="144">
        <f>T_ph(B73,B72)</f>
        <v>138.86073915416841</v>
      </c>
      <c r="C80" s="137">
        <f>B73</f>
        <v>3.5</v>
      </c>
      <c r="D80" s="137">
        <f>B72</f>
        <v>2709.16</v>
      </c>
      <c r="E80" s="143">
        <f>v_ph(C80,D80)</f>
        <v>0.51864101550574471</v>
      </c>
      <c r="F80" s="143">
        <f>s_ph(C80,D80)</f>
        <v>6.8847288127089676</v>
      </c>
      <c r="G80" s="144">
        <f>x_ph(C80,D80)*100</f>
        <v>98.938132336291233</v>
      </c>
      <c r="H80" s="137"/>
      <c r="I80" s="137">
        <f>region_pt(C80/10,B80+273.15)</f>
        <v>4</v>
      </c>
      <c r="J80" s="153" t="str">
        <f>IF(I80=1,"Voda",IF(I80=2,"Pára",IF(I80=4,"Mokrá pára")))</f>
        <v>Mokrá pára</v>
      </c>
    </row>
    <row r="81" spans="1:10" ht="12.95" customHeight="1" x14ac:dyDescent="0.2">
      <c r="A81" s="137" t="s">
        <v>29</v>
      </c>
      <c r="B81" s="144">
        <f>Tsat_p(C81)</f>
        <v>164.95275255074188</v>
      </c>
      <c r="C81" s="137">
        <f>B74</f>
        <v>7</v>
      </c>
      <c r="D81" s="144">
        <f>h_ps(C81,F80)</f>
        <v>2843.5635075446207</v>
      </c>
      <c r="E81" s="143">
        <f>v_ps(C81,F80)</f>
        <v>0.29941836239723907</v>
      </c>
      <c r="F81" s="143">
        <f>s_ph(C81,D81)</f>
        <v>6.8847010758209013</v>
      </c>
      <c r="G81" s="144">
        <f>x_ph(C81,D81)*100</f>
        <v>100</v>
      </c>
      <c r="H81" s="137"/>
      <c r="I81" s="137">
        <f>region_pt(C81/10,B81+273.15)</f>
        <v>4</v>
      </c>
      <c r="J81" s="153" t="str">
        <f>IF(I81=1,"Voda",IF(I81=2,"Pára",IF(I81=4,"Mokrá pára")))</f>
        <v>Mokrá pára</v>
      </c>
    </row>
    <row r="82" spans="1:10" ht="12.95" customHeight="1" x14ac:dyDescent="0.2">
      <c r="A82" s="137">
        <v>2</v>
      </c>
      <c r="B82" s="144">
        <f>T_ph(C82,D82)</f>
        <v>182.88514017507504</v>
      </c>
      <c r="C82" s="137">
        <f>C81</f>
        <v>7</v>
      </c>
      <c r="D82" s="144">
        <f>D80-((D80-D81)*B75)</f>
        <v>2806.1455710441983</v>
      </c>
      <c r="E82" s="143">
        <f>v_ph(C82,D82)</f>
        <v>0.28698180837197396</v>
      </c>
      <c r="F82" s="143">
        <f>s_ph(C82,D82)</f>
        <v>6.8040911915402154</v>
      </c>
      <c r="G82" s="144">
        <f>x_ph(C82,D82)*100</f>
        <v>100</v>
      </c>
      <c r="H82" s="137"/>
      <c r="I82" s="137">
        <f>region_pt(C82/10,B82+273.15)</f>
        <v>2</v>
      </c>
      <c r="J82" s="153" t="str">
        <f>IF(I82=1,"Voda",IF(I82=2,"Pára",IF(I82=4,"Mokrá pára")))</f>
        <v>Pára</v>
      </c>
    </row>
    <row r="83" spans="1:10" ht="12.95" customHeight="1" x14ac:dyDescent="0.2"/>
    <row r="84" spans="1:10" ht="12.95" customHeight="1" x14ac:dyDescent="0.2">
      <c r="A84" s="161" t="s">
        <v>30</v>
      </c>
      <c r="B84" s="162"/>
      <c r="C84" s="154">
        <f>D80-D81</f>
        <v>-134.40350754462088</v>
      </c>
    </row>
    <row r="85" spans="1:10" ht="12.95" customHeight="1" x14ac:dyDescent="0.2">
      <c r="A85" s="161" t="s">
        <v>31</v>
      </c>
      <c r="B85" s="162"/>
      <c r="C85" s="154">
        <f>C84*B75</f>
        <v>-96.985571044198423</v>
      </c>
    </row>
  </sheetData>
  <mergeCells count="52">
    <mergeCell ref="K32:K34"/>
    <mergeCell ref="I32:I34"/>
    <mergeCell ref="I58:I60"/>
    <mergeCell ref="I77:I79"/>
    <mergeCell ref="J9:J11"/>
    <mergeCell ref="J32:J34"/>
    <mergeCell ref="J58:J60"/>
    <mergeCell ref="J77:J79"/>
    <mergeCell ref="G32:G34"/>
    <mergeCell ref="G58:G60"/>
    <mergeCell ref="G77:G79"/>
    <mergeCell ref="H9:H11"/>
    <mergeCell ref="H32:H34"/>
    <mergeCell ref="H58:H60"/>
    <mergeCell ref="H77:H79"/>
    <mergeCell ref="E32:E34"/>
    <mergeCell ref="E58:E60"/>
    <mergeCell ref="E77:E79"/>
    <mergeCell ref="F9:F11"/>
    <mergeCell ref="F32:F34"/>
    <mergeCell ref="F58:F60"/>
    <mergeCell ref="F77:F79"/>
    <mergeCell ref="C32:C34"/>
    <mergeCell ref="C58:C60"/>
    <mergeCell ref="C77:C79"/>
    <mergeCell ref="D9:D11"/>
    <mergeCell ref="D32:D34"/>
    <mergeCell ref="D58:D60"/>
    <mergeCell ref="D77:D79"/>
    <mergeCell ref="A84:B84"/>
    <mergeCell ref="A85:B85"/>
    <mergeCell ref="A9:A11"/>
    <mergeCell ref="A32:A34"/>
    <mergeCell ref="B9:B11"/>
    <mergeCell ref="B32:B34"/>
    <mergeCell ref="B58:B60"/>
    <mergeCell ref="B77:B79"/>
    <mergeCell ref="A49:K49"/>
    <mergeCell ref="A51:C51"/>
    <mergeCell ref="A65:B65"/>
    <mergeCell ref="A66:B66"/>
    <mergeCell ref="A70:B70"/>
    <mergeCell ref="A1:K1"/>
    <mergeCell ref="A3:B3"/>
    <mergeCell ref="B7:K7"/>
    <mergeCell ref="A26:B26"/>
    <mergeCell ref="B30:K30"/>
    <mergeCell ref="C9:C11"/>
    <mergeCell ref="E9:E11"/>
    <mergeCell ref="G9:G11"/>
    <mergeCell ref="I9:I11"/>
    <mergeCell ref="K9:K11"/>
  </mergeCells>
  <phoneticPr fontId="31" type="noConversion"/>
  <pageMargins left="0.78680555555555598" right="0.78680555555555598" top="0.98402777777777795" bottom="0.98402777777777795" header="0.49166666666666697" footer="0.49166666666666697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8"/>
  <sheetViews>
    <sheetView workbookViewId="0">
      <selection activeCell="J14" sqref="J14"/>
    </sheetView>
  </sheetViews>
  <sheetFormatPr defaultColWidth="9" defaultRowHeight="12.75" x14ac:dyDescent="0.2"/>
  <cols>
    <col min="1" max="1" width="2.5703125" customWidth="1"/>
    <col min="2" max="2" width="21" customWidth="1"/>
    <col min="3" max="3" width="11.42578125" customWidth="1"/>
    <col min="5" max="5" width="4.7109375" customWidth="1"/>
    <col min="6" max="6" width="20.7109375" customWidth="1"/>
  </cols>
  <sheetData>
    <row r="1" spans="1:10" ht="18" x14ac:dyDescent="0.25">
      <c r="B1" s="98" t="s">
        <v>35</v>
      </c>
    </row>
    <row r="2" spans="1:10" s="97" customFormat="1" x14ac:dyDescent="0.2">
      <c r="B2" s="94" t="s">
        <v>36</v>
      </c>
      <c r="D2" s="94" t="s">
        <v>37</v>
      </c>
    </row>
    <row r="3" spans="1:10" s="97" customFormat="1" x14ac:dyDescent="0.2">
      <c r="B3" s="94" t="s">
        <v>38</v>
      </c>
      <c r="D3" s="94" t="s">
        <v>39</v>
      </c>
      <c r="H3" s="96"/>
      <c r="I3" s="96"/>
    </row>
    <row r="4" spans="1:10" x14ac:dyDescent="0.2">
      <c r="B4" s="107" t="s">
        <v>40</v>
      </c>
      <c r="D4" s="94" t="s">
        <v>41</v>
      </c>
      <c r="H4" s="96"/>
      <c r="I4" s="96"/>
      <c r="J4" s="97"/>
    </row>
    <row r="5" spans="1:10" x14ac:dyDescent="0.2">
      <c r="B5" s="108"/>
      <c r="H5" s="96"/>
      <c r="I5" s="96"/>
      <c r="J5" s="97"/>
    </row>
    <row r="6" spans="1:10" x14ac:dyDescent="0.2">
      <c r="B6" s="109" t="s">
        <v>42</v>
      </c>
      <c r="C6" s="110"/>
      <c r="D6" s="110"/>
      <c r="E6" s="110"/>
      <c r="F6" s="109" t="s">
        <v>43</v>
      </c>
      <c r="G6" s="110"/>
      <c r="H6" s="110"/>
    </row>
    <row r="7" spans="1:10" x14ac:dyDescent="0.2">
      <c r="A7" s="106"/>
      <c r="B7" s="111" t="s">
        <v>44</v>
      </c>
      <c r="C7" s="112">
        <v>112.2</v>
      </c>
      <c r="D7" s="113" t="s">
        <v>45</v>
      </c>
      <c r="E7" s="110"/>
      <c r="F7" s="111" t="s">
        <v>46</v>
      </c>
      <c r="G7" s="114">
        <v>0.63</v>
      </c>
      <c r="H7" s="113" t="s">
        <v>47</v>
      </c>
      <c r="I7" s="106"/>
    </row>
    <row r="8" spans="1:10" x14ac:dyDescent="0.2">
      <c r="A8" s="106"/>
      <c r="B8" s="115" t="s">
        <v>48</v>
      </c>
      <c r="C8" s="116">
        <f>psat_t(C7)</f>
        <v>1.5429776261602308</v>
      </c>
      <c r="D8" s="117" t="s">
        <v>47</v>
      </c>
      <c r="E8" s="110"/>
      <c r="F8" s="115" t="s">
        <v>49</v>
      </c>
      <c r="G8" s="118">
        <f>Tsat_p(G7)</f>
        <v>87.182629298427514</v>
      </c>
      <c r="H8" s="117" t="s">
        <v>45</v>
      </c>
      <c r="I8" s="106"/>
    </row>
    <row r="9" spans="1:10" x14ac:dyDescent="0.2">
      <c r="A9" s="106"/>
      <c r="B9" s="119" t="s">
        <v>50</v>
      </c>
      <c r="C9" s="106"/>
      <c r="D9" s="117"/>
      <c r="F9" s="119" t="s">
        <v>50</v>
      </c>
      <c r="G9" s="106"/>
      <c r="H9" s="117"/>
      <c r="I9" s="106"/>
    </row>
    <row r="10" spans="1:10" x14ac:dyDescent="0.2">
      <c r="A10" s="106"/>
      <c r="B10" s="115" t="s">
        <v>51</v>
      </c>
      <c r="C10" s="120">
        <f>hL_T(C7)</f>
        <v>470.68170170717195</v>
      </c>
      <c r="D10" s="117" t="s">
        <v>52</v>
      </c>
      <c r="E10" s="110"/>
      <c r="F10" s="115" t="s">
        <v>51</v>
      </c>
      <c r="G10" s="120">
        <f>hL_p(G7)</f>
        <v>365.11965279932014</v>
      </c>
      <c r="H10" s="117" t="s">
        <v>52</v>
      </c>
      <c r="I10" s="106"/>
    </row>
    <row r="11" spans="1:10" x14ac:dyDescent="0.2">
      <c r="A11" s="106"/>
      <c r="B11" s="115" t="s">
        <v>53</v>
      </c>
      <c r="C11" s="118">
        <f>rhoL_T(C7)</f>
        <v>949.26130118877165</v>
      </c>
      <c r="D11" s="117" t="s">
        <v>54</v>
      </c>
      <c r="E11" s="110"/>
      <c r="F11" s="115" t="s">
        <v>53</v>
      </c>
      <c r="G11" s="118">
        <f>rhoL_P(G7)</f>
        <v>967.17774183369613</v>
      </c>
      <c r="H11" s="117" t="s">
        <v>54</v>
      </c>
      <c r="I11" s="106"/>
    </row>
    <row r="12" spans="1:10" x14ac:dyDescent="0.2">
      <c r="A12" s="106"/>
      <c r="B12" s="115" t="s">
        <v>55</v>
      </c>
      <c r="C12" s="118">
        <f>sL_T(C7)</f>
        <v>1.4428904027650735</v>
      </c>
      <c r="D12" s="117" t="s">
        <v>56</v>
      </c>
      <c r="E12" s="110"/>
      <c r="F12" s="115" t="s">
        <v>55</v>
      </c>
      <c r="G12" s="118">
        <f>sL_p(G7)</f>
        <v>1.1599227515092194</v>
      </c>
      <c r="H12" s="117" t="s">
        <v>56</v>
      </c>
      <c r="I12" s="106"/>
    </row>
    <row r="13" spans="1:10" x14ac:dyDescent="0.2">
      <c r="A13" s="106"/>
      <c r="B13" s="121" t="s">
        <v>57</v>
      </c>
      <c r="C13" s="106"/>
      <c r="D13" s="117"/>
      <c r="F13" s="121" t="s">
        <v>57</v>
      </c>
      <c r="G13" s="106"/>
      <c r="H13" s="117"/>
      <c r="I13" s="106"/>
    </row>
    <row r="14" spans="1:10" x14ac:dyDescent="0.2">
      <c r="A14" s="106"/>
      <c r="B14" s="115" t="s">
        <v>58</v>
      </c>
      <c r="C14" s="120">
        <f>hV_T(C7)</f>
        <v>2694.3951636351603</v>
      </c>
      <c r="D14" s="117" t="s">
        <v>52</v>
      </c>
      <c r="E14" s="110"/>
      <c r="F14" s="115" t="s">
        <v>58</v>
      </c>
      <c r="G14" s="120">
        <f>hV_p(G7)</f>
        <v>2654.9205791680611</v>
      </c>
      <c r="H14" s="117" t="s">
        <v>52</v>
      </c>
      <c r="I14" s="106"/>
    </row>
    <row r="15" spans="1:10" x14ac:dyDescent="0.2">
      <c r="A15" s="106"/>
      <c r="B15" s="115" t="s">
        <v>59</v>
      </c>
      <c r="C15" s="118">
        <f>rhoV_T(C7)</f>
        <v>0.88564525833914265</v>
      </c>
      <c r="D15" s="117" t="s">
        <v>54</v>
      </c>
      <c r="E15" s="110"/>
      <c r="F15" s="115" t="s">
        <v>59</v>
      </c>
      <c r="G15" s="118">
        <f>rhoV_p(G7)</f>
        <v>0.3831551626844284</v>
      </c>
      <c r="H15" s="117" t="s">
        <v>54</v>
      </c>
      <c r="I15" s="106"/>
    </row>
    <row r="16" spans="1:10" x14ac:dyDescent="0.2">
      <c r="A16" s="106"/>
      <c r="B16" s="115" t="s">
        <v>60</v>
      </c>
      <c r="C16" s="118">
        <f>sV_T(C7)</f>
        <v>7.2134979149435754</v>
      </c>
      <c r="D16" s="117" t="s">
        <v>56</v>
      </c>
      <c r="E16" s="110"/>
      <c r="F16" s="115" t="s">
        <v>61</v>
      </c>
      <c r="G16" s="118">
        <f>sV_p(G7)</f>
        <v>7.5145789272918897</v>
      </c>
      <c r="H16" s="117" t="s">
        <v>56</v>
      </c>
      <c r="I16" s="106"/>
    </row>
    <row r="17" spans="1:9" x14ac:dyDescent="0.2">
      <c r="A17" s="106"/>
      <c r="B17" s="122" t="s">
        <v>62</v>
      </c>
      <c r="C17" s="123">
        <f>C14-C10</f>
        <v>2223.7134619279882</v>
      </c>
      <c r="D17" s="124" t="s">
        <v>52</v>
      </c>
      <c r="E17" s="110"/>
      <c r="F17" s="122" t="s">
        <v>62</v>
      </c>
      <c r="G17" s="123">
        <f>G14-G10</f>
        <v>2289.8009263687409</v>
      </c>
      <c r="H17" s="124" t="s">
        <v>52</v>
      </c>
      <c r="I17" s="106"/>
    </row>
    <row r="18" spans="1:9" x14ac:dyDescent="0.2">
      <c r="A18" s="106"/>
      <c r="I18" s="106"/>
    </row>
    <row r="19" spans="1:9" x14ac:dyDescent="0.2">
      <c r="A19" s="106"/>
      <c r="B19" s="109" t="s">
        <v>63</v>
      </c>
      <c r="C19" s="110"/>
      <c r="D19" s="110"/>
      <c r="E19" s="110"/>
      <c r="F19" s="109" t="s">
        <v>64</v>
      </c>
      <c r="G19" s="110"/>
      <c r="H19" s="110"/>
      <c r="I19" s="106"/>
    </row>
    <row r="20" spans="1:9" x14ac:dyDescent="0.2">
      <c r="A20" s="106"/>
      <c r="B20" s="111" t="s">
        <v>46</v>
      </c>
      <c r="C20" s="112">
        <v>10</v>
      </c>
      <c r="D20" s="113" t="s">
        <v>47</v>
      </c>
      <c r="E20" s="110"/>
      <c r="F20" s="111" t="s">
        <v>46</v>
      </c>
      <c r="G20" s="112">
        <v>1</v>
      </c>
      <c r="H20" s="113" t="s">
        <v>47</v>
      </c>
      <c r="I20" s="106"/>
    </row>
    <row r="21" spans="1:9" x14ac:dyDescent="0.2">
      <c r="A21" s="106"/>
      <c r="B21" s="125" t="s">
        <v>44</v>
      </c>
      <c r="C21" s="126">
        <v>150</v>
      </c>
      <c r="D21" s="127" t="s">
        <v>45</v>
      </c>
      <c r="E21" s="106"/>
      <c r="F21" s="125" t="s">
        <v>51</v>
      </c>
      <c r="G21" s="126">
        <v>2788</v>
      </c>
      <c r="H21" s="127" t="s">
        <v>52</v>
      </c>
      <c r="I21" s="106"/>
    </row>
    <row r="22" spans="1:9" x14ac:dyDescent="0.2">
      <c r="A22" s="106"/>
      <c r="B22" s="115" t="s">
        <v>51</v>
      </c>
      <c r="C22" s="120">
        <f>h_pT(C20,C21)</f>
        <v>632.57491959396657</v>
      </c>
      <c r="D22" s="117" t="s">
        <v>52</v>
      </c>
      <c r="E22" s="106"/>
      <c r="F22" s="115" t="s">
        <v>44</v>
      </c>
      <c r="G22" s="120">
        <f>T_ph(G20,G21)</f>
        <v>155.75257464801746</v>
      </c>
      <c r="H22" s="117" t="s">
        <v>45</v>
      </c>
      <c r="I22" s="106"/>
    </row>
    <row r="23" spans="1:9" x14ac:dyDescent="0.2">
      <c r="A23" s="106"/>
      <c r="B23" s="115" t="s">
        <v>53</v>
      </c>
      <c r="C23" s="118">
        <f>rho_pT(C20,C21)</f>
        <v>917.30421677160564</v>
      </c>
      <c r="D23" s="117" t="s">
        <v>54</v>
      </c>
      <c r="E23" s="106"/>
      <c r="F23" s="115" t="s">
        <v>53</v>
      </c>
      <c r="G23" s="118">
        <f>rho_ph(G20,G21)</f>
        <v>0.50915957269612711</v>
      </c>
      <c r="H23" s="117" t="s">
        <v>54</v>
      </c>
      <c r="I23" s="106"/>
    </row>
    <row r="24" spans="1:9" x14ac:dyDescent="0.2">
      <c r="A24" s="106"/>
      <c r="B24" s="115" t="s">
        <v>55</v>
      </c>
      <c r="C24" s="118">
        <f>s_pT(C20,C21)</f>
        <v>1.8413662890320079</v>
      </c>
      <c r="D24" s="117" t="s">
        <v>56</v>
      </c>
      <c r="E24" s="106"/>
      <c r="F24" s="115" t="s">
        <v>55</v>
      </c>
      <c r="G24" s="118">
        <f>s_ph(G20,G21)</f>
        <v>7.6414632305795713</v>
      </c>
      <c r="H24" s="117" t="s">
        <v>56</v>
      </c>
      <c r="I24" s="106"/>
    </row>
    <row r="25" spans="1:9" x14ac:dyDescent="0.2">
      <c r="A25" s="106"/>
      <c r="B25" s="128" t="s">
        <v>65</v>
      </c>
      <c r="C25">
        <f>x_ph(C20,C22)*100</f>
        <v>0</v>
      </c>
      <c r="D25" s="129" t="s">
        <v>66</v>
      </c>
      <c r="F25" s="128" t="s">
        <v>65</v>
      </c>
      <c r="G25">
        <f>x_ph(G20,G21)*100</f>
        <v>100</v>
      </c>
      <c r="H25" s="129" t="s">
        <v>66</v>
      </c>
      <c r="I25" s="106"/>
    </row>
    <row r="26" spans="1:9" x14ac:dyDescent="0.2">
      <c r="A26" s="106"/>
      <c r="B26" s="115" t="s">
        <v>27</v>
      </c>
      <c r="C26" s="106">
        <f>region_pt(C20/10,C21+273.15)</f>
        <v>1</v>
      </c>
      <c r="D26" s="117"/>
      <c r="E26" s="106"/>
      <c r="F26" s="115" t="s">
        <v>27</v>
      </c>
      <c r="G26" s="106">
        <f>region_ph(G20/10,G21)</f>
        <v>2</v>
      </c>
      <c r="H26" s="117"/>
      <c r="I26" s="106"/>
    </row>
    <row r="27" spans="1:9" x14ac:dyDescent="0.2">
      <c r="A27" s="106"/>
      <c r="B27" s="115" t="s">
        <v>67</v>
      </c>
      <c r="C27" s="130" t="str">
        <f>IF(C26=2,"Steam",IF(C26=1,"Liquid",IF(C26=4,"Mixture","")))</f>
        <v>Liquid</v>
      </c>
      <c r="D27" s="117"/>
      <c r="E27" s="106"/>
      <c r="F27" s="115" t="s">
        <v>67</v>
      </c>
      <c r="G27" s="130" t="str">
        <f>IF(G26=2,"Steam",IF(G26=1,"Liquid",IF(G26=4,"Mixture","")))</f>
        <v>Steam</v>
      </c>
      <c r="H27" s="117"/>
      <c r="I27" s="106"/>
    </row>
    <row r="28" spans="1:9" x14ac:dyDescent="0.2">
      <c r="B28" s="115" t="s">
        <v>68</v>
      </c>
      <c r="C28" s="106">
        <f>Cp_pT(C20,C21)</f>
        <v>4.3085708749335039</v>
      </c>
      <c r="D28" s="117" t="s">
        <v>52</v>
      </c>
      <c r="F28" s="115" t="s">
        <v>68</v>
      </c>
      <c r="G28" s="106">
        <f>Cp_ph(G20,G21)</f>
        <v>1.9824147989141518</v>
      </c>
      <c r="H28" s="117" t="s">
        <v>52</v>
      </c>
    </row>
    <row r="29" spans="1:9" x14ac:dyDescent="0.2">
      <c r="B29" s="122" t="s">
        <v>69</v>
      </c>
      <c r="C29" s="131">
        <f>w_pT(C20,C21)</f>
        <v>1467.4048312787697</v>
      </c>
      <c r="D29" s="124" t="s">
        <v>70</v>
      </c>
      <c r="F29" s="122" t="s">
        <v>69</v>
      </c>
      <c r="G29" s="131">
        <f>w_ph(G20,G21)</f>
        <v>508.16829287529168</v>
      </c>
      <c r="H29" s="124" t="s">
        <v>70</v>
      </c>
    </row>
    <row r="32" spans="1:9" x14ac:dyDescent="0.2">
      <c r="B32" s="132"/>
    </row>
    <row r="33" spans="2:2" x14ac:dyDescent="0.2">
      <c r="B33" s="132"/>
    </row>
    <row r="34" spans="2:2" x14ac:dyDescent="0.2">
      <c r="B34" s="132"/>
    </row>
    <row r="35" spans="2:2" x14ac:dyDescent="0.2">
      <c r="B35" s="132"/>
    </row>
    <row r="36" spans="2:2" x14ac:dyDescent="0.2">
      <c r="B36" s="132"/>
    </row>
    <row r="37" spans="2:2" x14ac:dyDescent="0.2">
      <c r="B37" s="132"/>
    </row>
    <row r="38" spans="2:2" x14ac:dyDescent="0.2">
      <c r="B38" s="132"/>
    </row>
  </sheetData>
  <phoneticPr fontId="31" type="noConversion"/>
  <hyperlinks>
    <hyperlink ref="B4" r:id="rId1"/>
  </hyperlinks>
  <pageMargins left="0.78680555555555598" right="0.78680555555555598" top="0.98402777777777795" bottom="0.98402777777777795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outlinePr summaryBelow="0"/>
  </sheetPr>
  <dimension ref="A1:M150"/>
  <sheetViews>
    <sheetView tabSelected="1" workbookViewId="0">
      <selection activeCell="A47" sqref="A47"/>
    </sheetView>
  </sheetViews>
  <sheetFormatPr defaultColWidth="9" defaultRowHeight="12.75" outlineLevelRow="1" x14ac:dyDescent="0.2"/>
  <cols>
    <col min="1" max="1" width="24.140625" customWidth="1"/>
    <col min="2" max="2" width="4.7109375" customWidth="1"/>
    <col min="3" max="3" width="7.7109375" customWidth="1"/>
    <col min="4" max="4" width="4.7109375" customWidth="1"/>
    <col min="5" max="5" width="8.28515625" customWidth="1"/>
    <col min="6" max="6" width="10.42578125" style="96" customWidth="1"/>
    <col min="7" max="7" width="9.140625" style="96"/>
    <col min="8" max="8" width="7.5703125" style="97" customWidth="1"/>
  </cols>
  <sheetData>
    <row r="1" spans="1:8" s="92" customFormat="1" ht="18" x14ac:dyDescent="0.25">
      <c r="A1" s="98" t="s">
        <v>35</v>
      </c>
      <c r="D1" s="97" t="s">
        <v>71</v>
      </c>
      <c r="E1" s="108" t="s">
        <v>365</v>
      </c>
      <c r="F1" s="98"/>
      <c r="G1" s="98"/>
    </row>
    <row r="2" spans="1:8" s="93" customFormat="1" ht="11.25" x14ac:dyDescent="0.2">
      <c r="A2" s="93" t="s">
        <v>72</v>
      </c>
    </row>
    <row r="3" spans="1:8" s="94" customFormat="1" ht="11.25" x14ac:dyDescent="0.2">
      <c r="A3" s="94" t="s">
        <v>73</v>
      </c>
    </row>
    <row r="4" spans="1:8" s="94" customFormat="1" ht="11.25" x14ac:dyDescent="0.2">
      <c r="A4" s="94" t="s">
        <v>74</v>
      </c>
      <c r="F4" s="99" t="s">
        <v>75</v>
      </c>
    </row>
    <row r="5" spans="1:8" s="94" customFormat="1" ht="11.25" x14ac:dyDescent="0.2">
      <c r="A5" s="94" t="s">
        <v>39</v>
      </c>
    </row>
    <row r="6" spans="1:8" x14ac:dyDescent="0.2">
      <c r="A6" s="93" t="s">
        <v>41</v>
      </c>
      <c r="B6" s="97"/>
      <c r="C6" s="97"/>
      <c r="D6" s="97"/>
      <c r="E6" s="97"/>
      <c r="F6" s="97"/>
      <c r="G6" s="97"/>
    </row>
    <row r="7" spans="1:8" x14ac:dyDescent="0.2">
      <c r="A7" s="93"/>
      <c r="B7" s="97"/>
      <c r="C7" s="97"/>
      <c r="D7" s="97"/>
      <c r="E7" s="97"/>
      <c r="F7" s="97"/>
      <c r="G7" s="97"/>
    </row>
    <row r="8" spans="1:8" s="95" customFormat="1" ht="15" x14ac:dyDescent="0.2">
      <c r="A8" s="100" t="s">
        <v>44</v>
      </c>
      <c r="F8" s="101"/>
      <c r="G8" s="101"/>
    </row>
    <row r="9" spans="1:8" s="94" customFormat="1" outlineLevel="1" x14ac:dyDescent="0.2">
      <c r="A9" s="96" t="s">
        <v>76</v>
      </c>
      <c r="B9" s="97">
        <v>1</v>
      </c>
      <c r="C9" s="97" t="s">
        <v>77</v>
      </c>
      <c r="D9" s="97"/>
      <c r="E9" s="97"/>
      <c r="F9" s="96">
        <f>Tsat_p(B9)</f>
        <v>99.605918611337643</v>
      </c>
      <c r="G9" s="96" t="s">
        <v>45</v>
      </c>
      <c r="H9" s="97" t="s">
        <v>49</v>
      </c>
    </row>
    <row r="10" spans="1:8" s="94" customFormat="1" outlineLevel="1" x14ac:dyDescent="0.2">
      <c r="A10" s="96" t="s">
        <v>78</v>
      </c>
      <c r="B10" s="97">
        <v>1</v>
      </c>
      <c r="C10" s="97" t="s">
        <v>77</v>
      </c>
      <c r="D10" s="97">
        <v>100</v>
      </c>
      <c r="E10" s="97" t="s">
        <v>52</v>
      </c>
      <c r="F10" s="96">
        <f>T_ph(B10,D10)</f>
        <v>23.844819075324835</v>
      </c>
      <c r="G10" s="96" t="s">
        <v>45</v>
      </c>
      <c r="H10" s="97" t="s">
        <v>79</v>
      </c>
    </row>
    <row r="11" spans="1:8" s="94" customFormat="1" outlineLevel="1" x14ac:dyDescent="0.2">
      <c r="A11" s="96" t="s">
        <v>80</v>
      </c>
      <c r="B11" s="97">
        <v>1</v>
      </c>
      <c r="C11" s="97" t="s">
        <v>77</v>
      </c>
      <c r="D11" s="97">
        <v>1</v>
      </c>
      <c r="E11" s="97" t="s">
        <v>81</v>
      </c>
      <c r="F11" s="96">
        <f>T_ps(B11,D11)</f>
        <v>73.708594214408663</v>
      </c>
      <c r="G11" s="96" t="s">
        <v>45</v>
      </c>
      <c r="H11" s="97" t="s">
        <v>82</v>
      </c>
    </row>
    <row r="12" spans="1:8" s="94" customFormat="1" outlineLevel="1" x14ac:dyDescent="0.2">
      <c r="A12" s="96" t="s">
        <v>83</v>
      </c>
      <c r="B12" s="97">
        <v>100</v>
      </c>
      <c r="C12" s="97" t="s">
        <v>52</v>
      </c>
      <c r="D12" s="97">
        <v>0.2</v>
      </c>
      <c r="E12" s="97" t="s">
        <v>81</v>
      </c>
      <c r="F12" s="96">
        <f>T_hs(B12,D12)</f>
        <v>13.849335111872563</v>
      </c>
      <c r="G12" s="96" t="s">
        <v>45</v>
      </c>
      <c r="H12" s="97" t="s">
        <v>84</v>
      </c>
    </row>
    <row r="13" spans="1:8" s="95" customFormat="1" ht="15" x14ac:dyDescent="0.2">
      <c r="A13" s="100" t="s">
        <v>46</v>
      </c>
      <c r="F13" s="101"/>
      <c r="G13" s="101"/>
    </row>
    <row r="14" spans="1:8" s="94" customFormat="1" outlineLevel="1" x14ac:dyDescent="0.2">
      <c r="A14" s="96" t="s">
        <v>85</v>
      </c>
      <c r="B14" s="97">
        <v>100</v>
      </c>
      <c r="C14" s="97" t="s">
        <v>45</v>
      </c>
      <c r="D14" s="97"/>
      <c r="E14" s="97"/>
      <c r="F14" s="96">
        <f>psat_t(B14)</f>
        <v>1.0141797792131013</v>
      </c>
      <c r="G14" s="96" t="s">
        <v>77</v>
      </c>
      <c r="H14" s="97" t="s">
        <v>48</v>
      </c>
    </row>
    <row r="15" spans="1:8" s="94" customFormat="1" outlineLevel="1" x14ac:dyDescent="0.2">
      <c r="A15" s="96" t="s">
        <v>86</v>
      </c>
      <c r="B15" s="97">
        <v>84</v>
      </c>
      <c r="C15" s="97" t="s">
        <v>52</v>
      </c>
      <c r="D15" s="97">
        <v>0.29599999999999999</v>
      </c>
      <c r="E15" s="97" t="s">
        <v>81</v>
      </c>
      <c r="F15" s="96">
        <f>p_hs(B15,D15)</f>
        <v>2.2954982692809138</v>
      </c>
      <c r="G15" s="96" t="s">
        <v>77</v>
      </c>
      <c r="H15" s="97" t="s">
        <v>87</v>
      </c>
    </row>
    <row r="16" spans="1:8" s="94" customFormat="1" outlineLevel="1" x14ac:dyDescent="0.2">
      <c r="A16" s="96" t="s">
        <v>88</v>
      </c>
      <c r="B16" s="97">
        <v>2000</v>
      </c>
      <c r="C16" s="97" t="s">
        <v>52</v>
      </c>
      <c r="D16" s="97">
        <v>5</v>
      </c>
      <c r="E16" s="97" t="s">
        <v>54</v>
      </c>
      <c r="F16" s="96">
        <f>p_hrho(B16,D16)</f>
        <v>6.0464690304783115</v>
      </c>
      <c r="G16" s="96" t="s">
        <v>77</v>
      </c>
      <c r="H16" s="97" t="s">
        <v>89</v>
      </c>
    </row>
    <row r="17" spans="1:8" s="95" customFormat="1" ht="15" x14ac:dyDescent="0.2">
      <c r="A17" s="100" t="s">
        <v>51</v>
      </c>
      <c r="F17" s="101"/>
      <c r="G17" s="101"/>
    </row>
    <row r="18" spans="1:8" s="94" customFormat="1" outlineLevel="1" x14ac:dyDescent="0.2">
      <c r="A18" s="96" t="s">
        <v>90</v>
      </c>
      <c r="B18" s="97">
        <v>1</v>
      </c>
      <c r="C18" s="97" t="s">
        <v>77</v>
      </c>
      <c r="D18" s="97"/>
      <c r="E18" s="97"/>
      <c r="F18" s="96">
        <f>hV_p(B18)</f>
        <v>2674.9496408321461</v>
      </c>
      <c r="G18" s="96" t="s">
        <v>52</v>
      </c>
      <c r="H18" s="97" t="s">
        <v>91</v>
      </c>
    </row>
    <row r="19" spans="1:8" s="94" customFormat="1" outlineLevel="1" x14ac:dyDescent="0.2">
      <c r="A19" s="96" t="s">
        <v>92</v>
      </c>
      <c r="B19" s="97">
        <v>1</v>
      </c>
      <c r="C19" s="97" t="s">
        <v>77</v>
      </c>
      <c r="D19" s="97"/>
      <c r="E19" s="97"/>
      <c r="F19" s="96">
        <f>hL_p(B19)</f>
        <v>417.43648581623171</v>
      </c>
      <c r="G19" s="96" t="s">
        <v>52</v>
      </c>
      <c r="H19" s="97" t="s">
        <v>93</v>
      </c>
    </row>
    <row r="20" spans="1:8" s="94" customFormat="1" outlineLevel="1" x14ac:dyDescent="0.2">
      <c r="A20" s="96" t="s">
        <v>94</v>
      </c>
      <c r="B20" s="97">
        <v>100</v>
      </c>
      <c r="C20" s="97" t="s">
        <v>45</v>
      </c>
      <c r="D20" s="97"/>
      <c r="E20" s="97"/>
      <c r="F20" s="96">
        <f>hV_T(B20)</f>
        <v>2675.5720292208343</v>
      </c>
      <c r="G20" s="96" t="s">
        <v>52</v>
      </c>
      <c r="H20" s="97" t="s">
        <v>91</v>
      </c>
    </row>
    <row r="21" spans="1:8" s="94" customFormat="1" outlineLevel="1" x14ac:dyDescent="0.2">
      <c r="A21" s="96" t="s">
        <v>95</v>
      </c>
      <c r="B21" s="97">
        <v>100</v>
      </c>
      <c r="C21" s="97" t="s">
        <v>45</v>
      </c>
      <c r="D21" s="97"/>
      <c r="E21" s="97"/>
      <c r="F21" s="96">
        <f>hL_T(B21)</f>
        <v>419.09915499770312</v>
      </c>
      <c r="G21" s="96" t="s">
        <v>52</v>
      </c>
      <c r="H21" s="97" t="s">
        <v>93</v>
      </c>
    </row>
    <row r="22" spans="1:8" s="94" customFormat="1" outlineLevel="1" x14ac:dyDescent="0.2">
      <c r="A22" s="96" t="s">
        <v>96</v>
      </c>
      <c r="B22" s="97">
        <v>1</v>
      </c>
      <c r="C22" s="97" t="s">
        <v>77</v>
      </c>
      <c r="D22" s="97">
        <v>20</v>
      </c>
      <c r="E22" s="97" t="s">
        <v>45</v>
      </c>
      <c r="F22" s="96">
        <f>h_pT(B22,D22)</f>
        <v>84.01181116713623</v>
      </c>
      <c r="G22" s="96" t="s">
        <v>52</v>
      </c>
      <c r="H22" s="97" t="s">
        <v>97</v>
      </c>
    </row>
    <row r="23" spans="1:8" s="94" customFormat="1" outlineLevel="1" x14ac:dyDescent="0.2">
      <c r="A23" s="96" t="s">
        <v>98</v>
      </c>
      <c r="B23" s="97">
        <v>1</v>
      </c>
      <c r="C23" s="97" t="s">
        <v>77</v>
      </c>
      <c r="D23" s="97">
        <v>1</v>
      </c>
      <c r="E23" s="97" t="s">
        <v>81</v>
      </c>
      <c r="F23" s="96">
        <f>h_ps(B23,D23)</f>
        <v>308.61071708294634</v>
      </c>
      <c r="G23" s="96" t="s">
        <v>52</v>
      </c>
      <c r="H23" s="97" t="s">
        <v>99</v>
      </c>
    </row>
    <row r="24" spans="1:8" s="94" customFormat="1" outlineLevel="1" x14ac:dyDescent="0.2">
      <c r="A24" s="96" t="s">
        <v>100</v>
      </c>
      <c r="B24" s="97">
        <v>1</v>
      </c>
      <c r="C24" s="97" t="s">
        <v>77</v>
      </c>
      <c r="D24" s="97">
        <v>0.5</v>
      </c>
      <c r="E24" s="97"/>
      <c r="F24" s="96">
        <f>h_px(B24,D24)</f>
        <v>1546.1930633241889</v>
      </c>
      <c r="G24" s="96" t="s">
        <v>52</v>
      </c>
      <c r="H24" s="97" t="s">
        <v>101</v>
      </c>
    </row>
    <row r="25" spans="1:8" s="94" customFormat="1" outlineLevel="1" x14ac:dyDescent="0.2">
      <c r="A25" s="96" t="s">
        <v>102</v>
      </c>
      <c r="B25" s="97">
        <v>100</v>
      </c>
      <c r="C25" s="97" t="s">
        <v>45</v>
      </c>
      <c r="D25" s="97">
        <v>0.5</v>
      </c>
      <c r="E25" s="97"/>
      <c r="F25" s="96">
        <f>h_tx(B25,D25)</f>
        <v>1547.3355921092686</v>
      </c>
      <c r="G25" s="96" t="s">
        <v>52</v>
      </c>
      <c r="H25" s="97" t="s">
        <v>103</v>
      </c>
    </row>
    <row r="26" spans="1:8" s="94" customFormat="1" outlineLevel="1" x14ac:dyDescent="0.2">
      <c r="A26" s="96" t="s">
        <v>104</v>
      </c>
      <c r="B26" s="97">
        <v>1</v>
      </c>
      <c r="C26" s="97" t="s">
        <v>77</v>
      </c>
      <c r="D26" s="97">
        <v>2</v>
      </c>
      <c r="E26" s="97" t="s">
        <v>54</v>
      </c>
      <c r="F26" s="96">
        <f>h_prho(B26,D26)</f>
        <v>1082.7733907600204</v>
      </c>
      <c r="G26" s="96" t="s">
        <v>52</v>
      </c>
      <c r="H26" s="97" t="s">
        <v>105</v>
      </c>
    </row>
    <row r="27" spans="1:8" s="95" customFormat="1" ht="15" x14ac:dyDescent="0.2">
      <c r="A27" s="100" t="s">
        <v>106</v>
      </c>
      <c r="F27" s="101"/>
      <c r="G27" s="101"/>
    </row>
    <row r="28" spans="1:8" s="94" customFormat="1" outlineLevel="1" x14ac:dyDescent="0.2">
      <c r="A28" s="96" t="s">
        <v>107</v>
      </c>
      <c r="B28" s="97">
        <v>1</v>
      </c>
      <c r="C28" s="97" t="s">
        <v>77</v>
      </c>
      <c r="D28" s="97"/>
      <c r="E28" s="97"/>
      <c r="F28" s="96">
        <f>vV_p(B28)</f>
        <v>1.6940225229026846</v>
      </c>
      <c r="G28" s="96" t="s">
        <v>108</v>
      </c>
      <c r="H28" s="97" t="s">
        <v>109</v>
      </c>
    </row>
    <row r="29" spans="1:8" s="94" customFormat="1" outlineLevel="1" x14ac:dyDescent="0.2">
      <c r="A29" s="96" t="s">
        <v>110</v>
      </c>
      <c r="B29" s="97">
        <v>1</v>
      </c>
      <c r="C29" s="97" t="s">
        <v>77</v>
      </c>
      <c r="D29" s="97"/>
      <c r="E29" s="97"/>
      <c r="F29" s="96">
        <f>vL_p(B29)</f>
        <v>1.0431478391551838E-3</v>
      </c>
      <c r="G29" s="96" t="s">
        <v>108</v>
      </c>
      <c r="H29" s="97" t="s">
        <v>111</v>
      </c>
    </row>
    <row r="30" spans="1:8" s="94" customFormat="1" outlineLevel="1" x14ac:dyDescent="0.2">
      <c r="A30" s="96" t="s">
        <v>112</v>
      </c>
      <c r="B30" s="97">
        <v>100</v>
      </c>
      <c r="C30" s="97" t="s">
        <v>45</v>
      </c>
      <c r="D30" s="97"/>
      <c r="E30" s="97"/>
      <c r="F30" s="96">
        <f>vV_T(B30)</f>
        <v>1.6718606010940367</v>
      </c>
      <c r="G30" s="96" t="s">
        <v>108</v>
      </c>
      <c r="H30" s="97" t="s">
        <v>109</v>
      </c>
    </row>
    <row r="31" spans="1:8" s="94" customFormat="1" outlineLevel="1" x14ac:dyDescent="0.2">
      <c r="A31" s="96" t="s">
        <v>113</v>
      </c>
      <c r="B31" s="97">
        <v>100</v>
      </c>
      <c r="C31" s="97" t="s">
        <v>45</v>
      </c>
      <c r="D31" s="97"/>
      <c r="E31" s="97"/>
      <c r="F31" s="96">
        <f>vL_T(B31)</f>
        <v>1.0434554566105269E-3</v>
      </c>
      <c r="G31" s="96" t="s">
        <v>108</v>
      </c>
      <c r="H31" s="97" t="s">
        <v>111</v>
      </c>
    </row>
    <row r="32" spans="1:8" s="94" customFormat="1" outlineLevel="1" x14ac:dyDescent="0.2">
      <c r="A32" s="96" t="s">
        <v>114</v>
      </c>
      <c r="B32" s="97">
        <v>1</v>
      </c>
      <c r="C32" s="97" t="s">
        <v>77</v>
      </c>
      <c r="D32" s="97">
        <v>100</v>
      </c>
      <c r="E32" s="97" t="s">
        <v>45</v>
      </c>
      <c r="F32" s="96">
        <f>v_pT(B32,D32)</f>
        <v>1.6959594073982218</v>
      </c>
      <c r="G32" s="96" t="s">
        <v>108</v>
      </c>
      <c r="H32" s="97" t="s">
        <v>115</v>
      </c>
    </row>
    <row r="33" spans="1:8" s="94" customFormat="1" outlineLevel="1" x14ac:dyDescent="0.2">
      <c r="A33" s="96" t="s">
        <v>116</v>
      </c>
      <c r="B33" s="97">
        <v>1</v>
      </c>
      <c r="C33" s="97" t="s">
        <v>77</v>
      </c>
      <c r="D33" s="97">
        <v>1000</v>
      </c>
      <c r="E33" s="97" t="s">
        <v>52</v>
      </c>
      <c r="F33" s="96">
        <f>v_ph(B33,D33)</f>
        <v>0.43792565812986356</v>
      </c>
      <c r="G33" s="96" t="s">
        <v>108</v>
      </c>
      <c r="H33" s="97" t="s">
        <v>117</v>
      </c>
    </row>
    <row r="34" spans="1:8" s="94" customFormat="1" outlineLevel="1" x14ac:dyDescent="0.2">
      <c r="A34" s="96" t="s">
        <v>118</v>
      </c>
      <c r="B34" s="97">
        <v>1</v>
      </c>
      <c r="C34" s="97" t="s">
        <v>77</v>
      </c>
      <c r="D34" s="97">
        <v>5</v>
      </c>
      <c r="E34" s="97" t="s">
        <v>81</v>
      </c>
      <c r="F34" s="96">
        <f>v_ps(B34,D34)</f>
        <v>1.0346353901862877</v>
      </c>
      <c r="G34" s="96" t="s">
        <v>108</v>
      </c>
      <c r="H34" s="97" t="s">
        <v>119</v>
      </c>
    </row>
    <row r="35" spans="1:8" s="95" customFormat="1" ht="15" x14ac:dyDescent="0.2">
      <c r="A35" s="100" t="s">
        <v>53</v>
      </c>
      <c r="F35" s="101"/>
      <c r="G35" s="101"/>
    </row>
    <row r="36" spans="1:8" s="94" customFormat="1" outlineLevel="1" x14ac:dyDescent="0.2">
      <c r="A36" s="96" t="s">
        <v>120</v>
      </c>
      <c r="B36" s="97">
        <v>1</v>
      </c>
      <c r="C36" s="97" t="s">
        <v>77</v>
      </c>
      <c r="D36" s="97"/>
      <c r="E36" s="97"/>
      <c r="F36" s="96">
        <f>rhoV_p(B36)</f>
        <v>0.59031092354457815</v>
      </c>
      <c r="G36" s="96" t="s">
        <v>54</v>
      </c>
      <c r="H36" s="97" t="s">
        <v>121</v>
      </c>
    </row>
    <row r="37" spans="1:8" s="94" customFormat="1" outlineLevel="1" x14ac:dyDescent="0.2">
      <c r="A37" s="96" t="s">
        <v>122</v>
      </c>
      <c r="B37" s="97">
        <v>1</v>
      </c>
      <c r="C37" s="97" t="s">
        <v>77</v>
      </c>
      <c r="D37" s="97"/>
      <c r="E37" s="97"/>
      <c r="F37" s="96">
        <f>rhoL_P(B37)</f>
        <v>958.63688967603287</v>
      </c>
      <c r="G37" s="96" t="s">
        <v>54</v>
      </c>
      <c r="H37" s="97" t="s">
        <v>123</v>
      </c>
    </row>
    <row r="38" spans="1:8" s="94" customFormat="1" outlineLevel="1" x14ac:dyDescent="0.2">
      <c r="A38" s="96" t="s">
        <v>124</v>
      </c>
      <c r="B38" s="97">
        <v>100</v>
      </c>
      <c r="C38" s="97" t="s">
        <v>45</v>
      </c>
      <c r="D38" s="97"/>
      <c r="E38" s="97"/>
      <c r="F38" s="96">
        <f>rhoV_T(B38)</f>
        <v>0.59813599252570293</v>
      </c>
      <c r="G38" s="96" t="s">
        <v>54</v>
      </c>
      <c r="H38" s="97" t="s">
        <v>121</v>
      </c>
    </row>
    <row r="39" spans="1:8" s="94" customFormat="1" outlineLevel="1" x14ac:dyDescent="0.2">
      <c r="A39" s="96" t="s">
        <v>125</v>
      </c>
      <c r="B39" s="97">
        <v>100</v>
      </c>
      <c r="C39" s="97" t="s">
        <v>45</v>
      </c>
      <c r="D39" s="97"/>
      <c r="E39" s="97"/>
      <c r="F39" s="96">
        <f>rhoL_T(B39)</f>
        <v>958.35427728589013</v>
      </c>
      <c r="G39" s="96" t="s">
        <v>54</v>
      </c>
      <c r="H39" s="97" t="s">
        <v>123</v>
      </c>
    </row>
    <row r="40" spans="1:8" s="94" customFormat="1" outlineLevel="1" x14ac:dyDescent="0.2">
      <c r="A40" s="96" t="s">
        <v>126</v>
      </c>
      <c r="B40" s="97">
        <v>1</v>
      </c>
      <c r="C40" s="97" t="s">
        <v>77</v>
      </c>
      <c r="D40" s="97">
        <v>100</v>
      </c>
      <c r="E40" s="97" t="s">
        <v>45</v>
      </c>
      <c r="F40" s="96">
        <f>rho_pT(B40,D40)</f>
        <v>0.5896367540624714</v>
      </c>
      <c r="G40" s="96" t="s">
        <v>54</v>
      </c>
      <c r="H40" s="97" t="s">
        <v>127</v>
      </c>
    </row>
    <row r="41" spans="1:8" s="94" customFormat="1" outlineLevel="1" x14ac:dyDescent="0.2">
      <c r="A41" s="96" t="s">
        <v>128</v>
      </c>
      <c r="B41" s="97">
        <v>1</v>
      </c>
      <c r="C41" s="97" t="s">
        <v>77</v>
      </c>
      <c r="D41" s="97">
        <v>1000</v>
      </c>
      <c r="E41" s="97" t="s">
        <v>52</v>
      </c>
      <c r="F41" s="96">
        <f>rho_ph(B41,D41)</f>
        <v>2.2834926007086289</v>
      </c>
      <c r="G41" s="96" t="s">
        <v>54</v>
      </c>
      <c r="H41" s="97" t="s">
        <v>129</v>
      </c>
    </row>
    <row r="42" spans="1:8" s="94" customFormat="1" outlineLevel="1" x14ac:dyDescent="0.2">
      <c r="A42" s="96" t="s">
        <v>130</v>
      </c>
      <c r="B42" s="97">
        <v>1</v>
      </c>
      <c r="C42" s="97" t="s">
        <v>77</v>
      </c>
      <c r="D42" s="97">
        <v>1</v>
      </c>
      <c r="E42" s="97" t="s">
        <v>81</v>
      </c>
      <c r="F42" s="96">
        <f>rho_ps(B42,D42)</f>
        <v>975.62367884823243</v>
      </c>
      <c r="G42" s="96" t="s">
        <v>54</v>
      </c>
      <c r="H42" s="97" t="s">
        <v>131</v>
      </c>
    </row>
    <row r="43" spans="1:8" s="95" customFormat="1" ht="15" x14ac:dyDescent="0.2">
      <c r="A43" s="100" t="s">
        <v>132</v>
      </c>
      <c r="F43" s="101"/>
      <c r="G43" s="101"/>
    </row>
    <row r="44" spans="1:8" s="94" customFormat="1" outlineLevel="1" x14ac:dyDescent="0.2">
      <c r="A44" s="96" t="s">
        <v>133</v>
      </c>
      <c r="B44" s="97">
        <v>6.117E-3</v>
      </c>
      <c r="C44" s="97" t="s">
        <v>77</v>
      </c>
      <c r="D44" s="97"/>
      <c r="E44" s="97"/>
      <c r="F44" s="96">
        <f>sV_p(B44)</f>
        <v>9.1554655557132456</v>
      </c>
      <c r="G44" s="96" t="s">
        <v>81</v>
      </c>
      <c r="H44" s="97" t="s">
        <v>134</v>
      </c>
    </row>
    <row r="45" spans="1:8" s="94" customFormat="1" outlineLevel="1" x14ac:dyDescent="0.2">
      <c r="A45" s="96" t="s">
        <v>135</v>
      </c>
      <c r="B45" s="97">
        <v>6.1171000000000003E-3</v>
      </c>
      <c r="C45" s="97" t="s">
        <v>77</v>
      </c>
      <c r="D45" s="97"/>
      <c r="E45" s="97"/>
      <c r="F45" s="96">
        <f>sL_p(B45)</f>
        <v>1.8359025119631999E-5</v>
      </c>
      <c r="G45" s="96" t="s">
        <v>81</v>
      </c>
      <c r="H45" s="97" t="s">
        <v>136</v>
      </c>
    </row>
    <row r="46" spans="1:8" s="94" customFormat="1" outlineLevel="1" x14ac:dyDescent="0.2">
      <c r="A46" s="96" t="s">
        <v>137</v>
      </c>
      <c r="B46" s="97">
        <v>1E-4</v>
      </c>
      <c r="C46" s="97" t="s">
        <v>45</v>
      </c>
      <c r="D46" s="97"/>
      <c r="E46" s="97"/>
      <c r="F46" s="96">
        <f>sV_T(B46)</f>
        <v>9.1557567158855857</v>
      </c>
      <c r="G46" s="96" t="s">
        <v>81</v>
      </c>
      <c r="H46" s="97" t="s">
        <v>134</v>
      </c>
    </row>
    <row r="47" spans="1:8" s="94" customFormat="1" outlineLevel="1" x14ac:dyDescent="0.2">
      <c r="A47" s="96" t="s">
        <v>138</v>
      </c>
      <c r="B47" s="97">
        <v>100</v>
      </c>
      <c r="C47" s="97" t="s">
        <v>45</v>
      </c>
      <c r="D47" s="97"/>
      <c r="E47" s="97"/>
      <c r="F47" s="96">
        <f>sL_T(B47)</f>
        <v>1.3070143278413395</v>
      </c>
      <c r="G47" s="96" t="s">
        <v>81</v>
      </c>
      <c r="H47" s="97" t="s">
        <v>136</v>
      </c>
    </row>
    <row r="48" spans="1:8" s="94" customFormat="1" outlineLevel="1" x14ac:dyDescent="0.2">
      <c r="A48" s="96" t="s">
        <v>139</v>
      </c>
      <c r="B48" s="97">
        <v>1</v>
      </c>
      <c r="C48" s="97" t="s">
        <v>77</v>
      </c>
      <c r="D48" s="97">
        <v>20</v>
      </c>
      <c r="E48" s="97" t="s">
        <v>45</v>
      </c>
      <c r="F48" s="96">
        <f>s_pT(B48,D48)</f>
        <v>0.29648292080641009</v>
      </c>
      <c r="G48" s="96" t="s">
        <v>81</v>
      </c>
      <c r="H48" s="97" t="s">
        <v>140</v>
      </c>
    </row>
    <row r="49" spans="1:8" s="94" customFormat="1" outlineLevel="1" x14ac:dyDescent="0.2">
      <c r="A49" s="96" t="s">
        <v>141</v>
      </c>
      <c r="B49" s="97">
        <v>1</v>
      </c>
      <c r="C49" s="97" t="s">
        <v>77</v>
      </c>
      <c r="D49" s="97">
        <f>F22</f>
        <v>84.01181116713623</v>
      </c>
      <c r="E49" s="97" t="s">
        <v>52</v>
      </c>
      <c r="F49" s="96">
        <f>s_ph(B49,D49)</f>
        <v>0.29681384467642941</v>
      </c>
      <c r="G49" s="96" t="s">
        <v>81</v>
      </c>
      <c r="H49" s="97" t="s">
        <v>142</v>
      </c>
    </row>
    <row r="50" spans="1:8" s="95" customFormat="1" ht="15" x14ac:dyDescent="0.2">
      <c r="A50" s="100" t="s">
        <v>143</v>
      </c>
      <c r="F50" s="101"/>
      <c r="G50" s="101"/>
    </row>
    <row r="51" spans="1:8" s="94" customFormat="1" outlineLevel="1" x14ac:dyDescent="0.2">
      <c r="A51" s="96" t="s">
        <v>144</v>
      </c>
      <c r="B51" s="97">
        <v>1</v>
      </c>
      <c r="C51" s="97" t="s">
        <v>77</v>
      </c>
      <c r="D51" s="97"/>
      <c r="E51" s="97"/>
      <c r="F51" s="96">
        <f>uV_p(B51)</f>
        <v>2505.5473885418778</v>
      </c>
      <c r="G51" s="96" t="s">
        <v>52</v>
      </c>
      <c r="H51" s="97" t="s">
        <v>145</v>
      </c>
    </row>
    <row r="52" spans="1:8" s="94" customFormat="1" outlineLevel="1" x14ac:dyDescent="0.2">
      <c r="A52" s="96" t="s">
        <v>146</v>
      </c>
      <c r="B52" s="97">
        <v>1</v>
      </c>
      <c r="C52" s="97" t="s">
        <v>77</v>
      </c>
      <c r="D52" s="97"/>
      <c r="E52" s="97"/>
      <c r="F52" s="96">
        <f>uL_p(B52)</f>
        <v>417.33217103231618</v>
      </c>
      <c r="G52" s="96" t="s">
        <v>52</v>
      </c>
      <c r="H52" s="97" t="s">
        <v>147</v>
      </c>
    </row>
    <row r="53" spans="1:8" s="94" customFormat="1" outlineLevel="1" x14ac:dyDescent="0.2">
      <c r="A53" s="96" t="s">
        <v>148</v>
      </c>
      <c r="B53" s="97">
        <v>100</v>
      </c>
      <c r="C53" s="97" t="s">
        <v>45</v>
      </c>
      <c r="D53" s="97"/>
      <c r="E53" s="97"/>
      <c r="F53" s="96">
        <f>uV_T(B53)</f>
        <v>2506.0153076915708</v>
      </c>
      <c r="G53" s="96" t="s">
        <v>52</v>
      </c>
      <c r="H53" s="97" t="s">
        <v>145</v>
      </c>
    </row>
    <row r="54" spans="1:8" s="94" customFormat="1" outlineLevel="1" x14ac:dyDescent="0.2">
      <c r="A54" s="96" t="s">
        <v>149</v>
      </c>
      <c r="B54" s="97">
        <v>100</v>
      </c>
      <c r="C54" s="97" t="s">
        <v>45</v>
      </c>
      <c r="D54" s="97"/>
      <c r="E54" s="97"/>
      <c r="F54" s="96">
        <f>uL_T(B54)</f>
        <v>418.99332985524268</v>
      </c>
      <c r="G54" s="96" t="s">
        <v>52</v>
      </c>
      <c r="H54" s="97" t="s">
        <v>147</v>
      </c>
    </row>
    <row r="55" spans="1:8" s="94" customFormat="1" outlineLevel="1" x14ac:dyDescent="0.2">
      <c r="A55" s="96" t="s">
        <v>150</v>
      </c>
      <c r="B55" s="97">
        <v>1</v>
      </c>
      <c r="C55" s="97" t="s">
        <v>77</v>
      </c>
      <c r="D55" s="97">
        <v>100</v>
      </c>
      <c r="E55" s="97" t="s">
        <v>45</v>
      </c>
      <c r="F55" s="96">
        <f>u_pT(B55,D55)</f>
        <v>2506.1714264660072</v>
      </c>
      <c r="G55" s="96" t="s">
        <v>52</v>
      </c>
      <c r="H55" s="97" t="s">
        <v>151</v>
      </c>
    </row>
    <row r="56" spans="1:8" s="94" customFormat="1" outlineLevel="1" x14ac:dyDescent="0.2">
      <c r="A56" s="96" t="s">
        <v>152</v>
      </c>
      <c r="B56" s="97">
        <v>1</v>
      </c>
      <c r="C56" s="97" t="s">
        <v>77</v>
      </c>
      <c r="D56" s="97">
        <v>1000</v>
      </c>
      <c r="E56" s="97" t="s">
        <v>52</v>
      </c>
      <c r="F56" s="96">
        <f>u_ph(B56,D56)</f>
        <v>956.20743418701375</v>
      </c>
      <c r="G56" s="96" t="s">
        <v>52</v>
      </c>
      <c r="H56" s="97" t="s">
        <v>153</v>
      </c>
    </row>
    <row r="57" spans="1:8" s="94" customFormat="1" outlineLevel="1" x14ac:dyDescent="0.2">
      <c r="A57" s="96" t="s">
        <v>154</v>
      </c>
      <c r="B57" s="97">
        <v>1</v>
      </c>
      <c r="C57" s="97" t="s">
        <v>77</v>
      </c>
      <c r="D57" s="97">
        <v>1</v>
      </c>
      <c r="E57" s="97" t="s">
        <v>81</v>
      </c>
      <c r="F57" s="96">
        <f>u_ps(B57,D57)</f>
        <v>308.50821854568443</v>
      </c>
      <c r="G57" s="96" t="s">
        <v>52</v>
      </c>
      <c r="H57" s="97" t="s">
        <v>155</v>
      </c>
    </row>
    <row r="58" spans="1:8" s="95" customFormat="1" ht="15" x14ac:dyDescent="0.2">
      <c r="A58" s="100" t="s">
        <v>156</v>
      </c>
      <c r="F58" s="101"/>
      <c r="G58" s="101"/>
    </row>
    <row r="59" spans="1:8" s="94" customFormat="1" outlineLevel="1" x14ac:dyDescent="0.2">
      <c r="A59" s="96" t="s">
        <v>157</v>
      </c>
      <c r="B59" s="97">
        <v>1</v>
      </c>
      <c r="C59" s="97" t="s">
        <v>77</v>
      </c>
      <c r="D59" s="97"/>
      <c r="E59" s="97"/>
      <c r="F59" s="96">
        <f>CpV_p(B59)</f>
        <v>2.0759380252044393</v>
      </c>
      <c r="G59" s="96" t="s">
        <v>158</v>
      </c>
      <c r="H59" s="97" t="s">
        <v>159</v>
      </c>
    </row>
    <row r="60" spans="1:8" s="94" customFormat="1" outlineLevel="1" x14ac:dyDescent="0.2">
      <c r="A60" s="96" t="s">
        <v>160</v>
      </c>
      <c r="B60" s="97">
        <v>1</v>
      </c>
      <c r="C60" s="97" t="s">
        <v>77</v>
      </c>
      <c r="D60" s="97"/>
      <c r="E60" s="97"/>
      <c r="F60" s="96">
        <f>CpL_p(B60)</f>
        <v>4.2161494308387475</v>
      </c>
      <c r="G60" s="96" t="s">
        <v>158</v>
      </c>
      <c r="H60" s="97" t="s">
        <v>161</v>
      </c>
    </row>
    <row r="61" spans="1:8" s="94" customFormat="1" outlineLevel="1" x14ac:dyDescent="0.2">
      <c r="A61" s="96" t="s">
        <v>162</v>
      </c>
      <c r="B61" s="97">
        <v>100</v>
      </c>
      <c r="C61" s="97" t="s">
        <v>45</v>
      </c>
      <c r="D61" s="97"/>
      <c r="E61" s="97"/>
      <c r="F61" s="96">
        <f>CpV_T(B61)</f>
        <v>2.0774918684822654</v>
      </c>
      <c r="G61" s="96" t="s">
        <v>158</v>
      </c>
      <c r="H61" s="97" t="s">
        <v>159</v>
      </c>
    </row>
    <row r="62" spans="1:8" s="94" customFormat="1" outlineLevel="1" x14ac:dyDescent="0.2">
      <c r="A62" s="96" t="s">
        <v>163</v>
      </c>
      <c r="B62" s="97">
        <v>100</v>
      </c>
      <c r="C62" s="97" t="s">
        <v>45</v>
      </c>
      <c r="D62" s="97"/>
      <c r="E62" s="97"/>
      <c r="F62" s="96">
        <f>CpL_T(B62)</f>
        <v>4.2166451189235845</v>
      </c>
      <c r="G62" s="96" t="s">
        <v>158</v>
      </c>
      <c r="H62" s="97" t="s">
        <v>161</v>
      </c>
    </row>
    <row r="63" spans="1:8" s="94" customFormat="1" outlineLevel="1" x14ac:dyDescent="0.2">
      <c r="A63" s="96" t="s">
        <v>164</v>
      </c>
      <c r="B63" s="97">
        <v>1</v>
      </c>
      <c r="C63" s="97" t="s">
        <v>77</v>
      </c>
      <c r="D63" s="97">
        <v>100</v>
      </c>
      <c r="E63" s="97" t="s">
        <v>45</v>
      </c>
      <c r="F63" s="96">
        <f>Cp_pT(B63,D63)</f>
        <v>2.0741085545801092</v>
      </c>
      <c r="G63" s="96" t="s">
        <v>158</v>
      </c>
      <c r="H63" s="97" t="s">
        <v>165</v>
      </c>
    </row>
    <row r="64" spans="1:8" s="94" customFormat="1" outlineLevel="1" x14ac:dyDescent="0.2">
      <c r="A64" s="96" t="s">
        <v>166</v>
      </c>
      <c r="B64" s="97">
        <v>1</v>
      </c>
      <c r="C64" s="97" t="s">
        <v>77</v>
      </c>
      <c r="D64" s="97">
        <v>200</v>
      </c>
      <c r="E64" s="97" t="s">
        <v>52</v>
      </c>
      <c r="F64" s="96">
        <f>Cp_ph(B64,D64)</f>
        <v>4.1791357316880209</v>
      </c>
      <c r="G64" s="96" t="s">
        <v>158</v>
      </c>
      <c r="H64" s="97" t="s">
        <v>167</v>
      </c>
    </row>
    <row r="65" spans="1:8" s="94" customFormat="1" outlineLevel="1" x14ac:dyDescent="0.2">
      <c r="A65" s="96" t="s">
        <v>168</v>
      </c>
      <c r="B65" s="97">
        <v>1</v>
      </c>
      <c r="C65" s="97" t="s">
        <v>77</v>
      </c>
      <c r="D65" s="97">
        <v>1</v>
      </c>
      <c r="E65" s="97" t="s">
        <v>81</v>
      </c>
      <c r="F65" s="96">
        <f>Cp_ps(B65,D65)</f>
        <v>4.1906070379012936</v>
      </c>
      <c r="G65" s="96" t="s">
        <v>158</v>
      </c>
      <c r="H65" s="97" t="s">
        <v>169</v>
      </c>
    </row>
    <row r="66" spans="1:8" s="95" customFormat="1" ht="15" x14ac:dyDescent="0.2">
      <c r="A66" s="100" t="s">
        <v>170</v>
      </c>
      <c r="F66" s="101"/>
      <c r="G66" s="101"/>
    </row>
    <row r="67" spans="1:8" s="94" customFormat="1" outlineLevel="1" x14ac:dyDescent="0.2">
      <c r="A67" s="96" t="s">
        <v>171</v>
      </c>
      <c r="B67" s="97">
        <v>1</v>
      </c>
      <c r="C67" s="97" t="s">
        <v>77</v>
      </c>
      <c r="D67" s="97"/>
      <c r="E67" s="97"/>
      <c r="F67" s="96">
        <f>CvV_p(B67)</f>
        <v>1.5526969793308025</v>
      </c>
      <c r="G67" s="96" t="s">
        <v>158</v>
      </c>
      <c r="H67" s="97" t="s">
        <v>172</v>
      </c>
    </row>
    <row r="68" spans="1:8" s="94" customFormat="1" outlineLevel="1" x14ac:dyDescent="0.2">
      <c r="A68" s="96" t="s">
        <v>173</v>
      </c>
      <c r="B68" s="97">
        <v>1</v>
      </c>
      <c r="C68" s="97" t="s">
        <v>77</v>
      </c>
      <c r="D68" s="97"/>
      <c r="E68" s="97"/>
      <c r="F68" s="96">
        <f>CvL_p(B68)</f>
        <v>3.7696996827334974</v>
      </c>
      <c r="G68" s="96" t="s">
        <v>158</v>
      </c>
      <c r="H68" s="97" t="s">
        <v>174</v>
      </c>
    </row>
    <row r="69" spans="1:8" s="94" customFormat="1" outlineLevel="1" x14ac:dyDescent="0.2">
      <c r="A69" s="96" t="s">
        <v>175</v>
      </c>
      <c r="B69" s="97">
        <v>100</v>
      </c>
      <c r="C69" s="97" t="s">
        <v>45</v>
      </c>
      <c r="D69" s="97"/>
      <c r="E69" s="97"/>
      <c r="F69" s="96">
        <f>CvV_T(B69)</f>
        <v>1.5536986960345103</v>
      </c>
      <c r="G69" s="96" t="s">
        <v>158</v>
      </c>
      <c r="H69" s="97" t="s">
        <v>172</v>
      </c>
    </row>
    <row r="70" spans="1:8" s="94" customFormat="1" outlineLevel="1" x14ac:dyDescent="0.2">
      <c r="A70" s="96" t="s">
        <v>176</v>
      </c>
      <c r="B70" s="97">
        <v>100</v>
      </c>
      <c r="C70" s="97" t="s">
        <v>45</v>
      </c>
      <c r="D70" s="97"/>
      <c r="E70" s="97"/>
      <c r="F70" s="96">
        <f>CvL_T(B70)</f>
        <v>3.7677002201427507</v>
      </c>
      <c r="G70" s="96" t="s">
        <v>158</v>
      </c>
      <c r="H70" s="97" t="s">
        <v>174</v>
      </c>
    </row>
    <row r="71" spans="1:8" s="94" customFormat="1" outlineLevel="1" x14ac:dyDescent="0.2">
      <c r="A71" s="96" t="s">
        <v>177</v>
      </c>
      <c r="B71" s="97">
        <v>1</v>
      </c>
      <c r="C71" s="97" t="s">
        <v>77</v>
      </c>
      <c r="D71" s="97">
        <v>100</v>
      </c>
      <c r="E71" s="97" t="s">
        <v>45</v>
      </c>
      <c r="F71" s="96">
        <f>Cv_pT(B71,D71)</f>
        <v>1.5513972494644879</v>
      </c>
      <c r="G71" s="96" t="s">
        <v>158</v>
      </c>
      <c r="H71" s="97" t="s">
        <v>178</v>
      </c>
    </row>
    <row r="72" spans="1:8" s="94" customFormat="1" outlineLevel="1" x14ac:dyDescent="0.2">
      <c r="A72" s="96" t="s">
        <v>179</v>
      </c>
      <c r="B72" s="97">
        <v>1</v>
      </c>
      <c r="C72" s="97" t="s">
        <v>77</v>
      </c>
      <c r="D72" s="97">
        <v>200</v>
      </c>
      <c r="E72" s="97" t="s">
        <v>52</v>
      </c>
      <c r="F72" s="96">
        <f>Cv_ph(B72,D72)</f>
        <v>4.0351763635796729</v>
      </c>
      <c r="G72" s="96" t="s">
        <v>158</v>
      </c>
      <c r="H72" s="97" t="s">
        <v>180</v>
      </c>
    </row>
    <row r="73" spans="1:8" s="94" customFormat="1" outlineLevel="1" x14ac:dyDescent="0.2">
      <c r="A73" s="96" t="s">
        <v>181</v>
      </c>
      <c r="B73" s="97">
        <v>1</v>
      </c>
      <c r="C73" s="97" t="s">
        <v>77</v>
      </c>
      <c r="D73" s="97">
        <v>1</v>
      </c>
      <c r="E73" s="97" t="s">
        <v>81</v>
      </c>
      <c r="F73" s="96">
        <f>Cv_ps(B73,D73)</f>
        <v>3.9029194681136645</v>
      </c>
      <c r="G73" s="96" t="s">
        <v>158</v>
      </c>
      <c r="H73" s="97" t="s">
        <v>182</v>
      </c>
    </row>
    <row r="74" spans="1:8" s="95" customFormat="1" ht="15" x14ac:dyDescent="0.2">
      <c r="A74" s="100" t="s">
        <v>183</v>
      </c>
      <c r="F74" s="101"/>
      <c r="G74" s="101"/>
    </row>
    <row r="75" spans="1:8" s="94" customFormat="1" outlineLevel="1" x14ac:dyDescent="0.2">
      <c r="A75" s="96" t="s">
        <v>184</v>
      </c>
      <c r="B75" s="97">
        <v>1</v>
      </c>
      <c r="C75" s="97" t="s">
        <v>77</v>
      </c>
      <c r="D75" s="97"/>
      <c r="E75" s="97"/>
      <c r="F75" s="96">
        <f>wV_p(B75)</f>
        <v>472.05415710604763</v>
      </c>
      <c r="G75" s="96" t="s">
        <v>70</v>
      </c>
      <c r="H75" s="97" t="s">
        <v>185</v>
      </c>
    </row>
    <row r="76" spans="1:8" s="94" customFormat="1" outlineLevel="1" x14ac:dyDescent="0.2">
      <c r="A76" s="96" t="s">
        <v>186</v>
      </c>
      <c r="B76" s="97">
        <v>1</v>
      </c>
      <c r="C76" s="97" t="s">
        <v>77</v>
      </c>
      <c r="D76" s="97"/>
      <c r="E76" s="97"/>
      <c r="F76" s="96">
        <f>wL_p(B76)</f>
        <v>1545.4519475339648</v>
      </c>
      <c r="G76" s="96" t="s">
        <v>70</v>
      </c>
      <c r="H76" s="97" t="s">
        <v>187</v>
      </c>
    </row>
    <row r="77" spans="1:8" s="94" customFormat="1" outlineLevel="1" x14ac:dyDescent="0.2">
      <c r="A77" s="96" t="s">
        <v>188</v>
      </c>
      <c r="B77" s="97">
        <v>100</v>
      </c>
      <c r="C77" s="97" t="s">
        <v>45</v>
      </c>
      <c r="D77" s="97"/>
      <c r="E77" s="97"/>
      <c r="F77" s="96">
        <f>wV_T(B77)</f>
        <v>472.2559492389438</v>
      </c>
      <c r="G77" s="96" t="s">
        <v>70</v>
      </c>
      <c r="H77" s="97" t="s">
        <v>185</v>
      </c>
    </row>
    <row r="78" spans="1:8" s="94" customFormat="1" outlineLevel="1" x14ac:dyDescent="0.2">
      <c r="A78" s="96" t="s">
        <v>189</v>
      </c>
      <c r="B78" s="97">
        <v>100</v>
      </c>
      <c r="C78" s="97" t="s">
        <v>45</v>
      </c>
      <c r="D78" s="97"/>
      <c r="E78" s="97"/>
      <c r="F78" s="96">
        <f>wL_T(B78)</f>
        <v>1545.0922491938707</v>
      </c>
      <c r="G78" s="96" t="s">
        <v>70</v>
      </c>
      <c r="H78" s="97" t="s">
        <v>187</v>
      </c>
    </row>
    <row r="79" spans="1:8" s="94" customFormat="1" outlineLevel="1" x14ac:dyDescent="0.2">
      <c r="A79" s="96" t="s">
        <v>190</v>
      </c>
      <c r="B79" s="97">
        <v>1</v>
      </c>
      <c r="C79" s="97" t="s">
        <v>77</v>
      </c>
      <c r="D79" s="97">
        <v>100</v>
      </c>
      <c r="E79" s="97" t="s">
        <v>45</v>
      </c>
      <c r="F79" s="96">
        <f>w_pT(B79,D79)</f>
        <v>472.33752352485521</v>
      </c>
      <c r="G79" s="96" t="s">
        <v>70</v>
      </c>
      <c r="H79" s="97" t="s">
        <v>191</v>
      </c>
    </row>
    <row r="80" spans="1:8" s="94" customFormat="1" outlineLevel="1" x14ac:dyDescent="0.2">
      <c r="A80" s="96" t="s">
        <v>192</v>
      </c>
      <c r="B80" s="97">
        <v>1</v>
      </c>
      <c r="C80" s="97" t="s">
        <v>77</v>
      </c>
      <c r="D80" s="97">
        <v>200</v>
      </c>
      <c r="E80" s="97" t="s">
        <v>52</v>
      </c>
      <c r="F80" s="96">
        <f>w_ph(B80,D80)</f>
        <v>1542.6824750114695</v>
      </c>
      <c r="G80" s="96" t="s">
        <v>70</v>
      </c>
      <c r="H80" s="97" t="s">
        <v>193</v>
      </c>
    </row>
    <row r="81" spans="1:13" s="94" customFormat="1" outlineLevel="1" x14ac:dyDescent="0.2">
      <c r="A81" s="96" t="s">
        <v>194</v>
      </c>
      <c r="B81" s="97">
        <v>1</v>
      </c>
      <c r="C81" s="97" t="s">
        <v>77</v>
      </c>
      <c r="D81" s="97">
        <v>1</v>
      </c>
      <c r="E81" s="97" t="s">
        <v>81</v>
      </c>
      <c r="F81" s="96">
        <f>w_ps(B81,D81)</f>
        <v>1557.8585355322159</v>
      </c>
      <c r="G81" s="96" t="s">
        <v>70</v>
      </c>
      <c r="H81" s="97" t="s">
        <v>195</v>
      </c>
    </row>
    <row r="82" spans="1:13" s="95" customFormat="1" ht="15" x14ac:dyDescent="0.2">
      <c r="A82" s="100" t="s">
        <v>196</v>
      </c>
      <c r="F82" s="101"/>
      <c r="G82" s="101"/>
    </row>
    <row r="83" spans="1:13" s="94" customFormat="1" ht="11.25" outlineLevel="1" x14ac:dyDescent="0.2">
      <c r="A83" s="94" t="s">
        <v>197</v>
      </c>
      <c r="F83" s="93"/>
      <c r="G83" s="93"/>
    </row>
    <row r="84" spans="1:13" s="94" customFormat="1" ht="11.25" outlineLevel="1" x14ac:dyDescent="0.2">
      <c r="A84" s="94" t="s">
        <v>198</v>
      </c>
      <c r="F84" s="93"/>
      <c r="G84" s="93"/>
    </row>
    <row r="85" spans="1:13" s="94" customFormat="1" outlineLevel="1" x14ac:dyDescent="0.2">
      <c r="A85" s="96" t="s">
        <v>199</v>
      </c>
      <c r="B85" s="97">
        <v>1</v>
      </c>
      <c r="C85" s="97" t="s">
        <v>77</v>
      </c>
      <c r="D85" s="97">
        <v>100</v>
      </c>
      <c r="E85" s="97" t="s">
        <v>45</v>
      </c>
      <c r="F85" s="96">
        <f>my_pT(B85,D85)</f>
        <v>1.2270405707196506E-5</v>
      </c>
      <c r="G85" s="96" t="s">
        <v>200</v>
      </c>
      <c r="H85" s="97" t="s">
        <v>201</v>
      </c>
    </row>
    <row r="86" spans="1:13" s="94" customFormat="1" outlineLevel="1" x14ac:dyDescent="0.2">
      <c r="A86" s="96" t="s">
        <v>202</v>
      </c>
      <c r="B86" s="97">
        <v>1</v>
      </c>
      <c r="C86" s="97" t="s">
        <v>77</v>
      </c>
      <c r="D86" s="97">
        <v>100</v>
      </c>
      <c r="E86" s="97" t="s">
        <v>52</v>
      </c>
      <c r="F86" s="102">
        <f>my_ph(B86,D86)</f>
        <v>9.1400377030210805E-4</v>
      </c>
      <c r="G86" s="96" t="s">
        <v>200</v>
      </c>
      <c r="H86" s="97" t="s">
        <v>203</v>
      </c>
    </row>
    <row r="87" spans="1:13" s="94" customFormat="1" outlineLevel="1" x14ac:dyDescent="0.2">
      <c r="A87" s="96" t="s">
        <v>204</v>
      </c>
      <c r="B87" s="97">
        <v>1</v>
      </c>
      <c r="C87" s="97" t="s">
        <v>77</v>
      </c>
      <c r="D87" s="97">
        <v>1</v>
      </c>
      <c r="E87" s="97" t="s">
        <v>81</v>
      </c>
      <c r="F87" s="102">
        <f>my_ps(B87,D87)</f>
        <v>3.8422186564756434E-4</v>
      </c>
      <c r="G87" s="96" t="s">
        <v>200</v>
      </c>
      <c r="H87" s="97" t="s">
        <v>205</v>
      </c>
    </row>
    <row r="88" spans="1:13" ht="18" x14ac:dyDescent="0.25">
      <c r="A88" s="98" t="s">
        <v>206</v>
      </c>
      <c r="F88" s="102"/>
      <c r="H88" s="103"/>
      <c r="I88" s="106"/>
      <c r="J88" s="106"/>
      <c r="K88" s="106"/>
      <c r="L88" s="106"/>
      <c r="M88" s="106"/>
    </row>
    <row r="89" spans="1:13" outlineLevel="1" x14ac:dyDescent="0.2">
      <c r="A89" s="94" t="s">
        <v>207</v>
      </c>
      <c r="F89" s="102"/>
      <c r="H89" s="103"/>
      <c r="I89" s="106"/>
      <c r="J89" s="106"/>
      <c r="K89" s="106"/>
      <c r="L89" s="106"/>
      <c r="M89" s="106"/>
    </row>
    <row r="90" spans="1:13" outlineLevel="1" x14ac:dyDescent="0.2">
      <c r="A90" s="96" t="s">
        <v>208</v>
      </c>
      <c r="B90">
        <v>1</v>
      </c>
      <c r="C90" t="s">
        <v>77</v>
      </c>
      <c r="D90">
        <v>200</v>
      </c>
      <c r="E90" t="s">
        <v>45</v>
      </c>
      <c r="F90" s="102">
        <f>pr_pT(B90,D90)</f>
        <v>0.95780821438588049</v>
      </c>
      <c r="G90" s="96" t="s">
        <v>209</v>
      </c>
      <c r="H90" s="103"/>
      <c r="I90" s="106"/>
      <c r="J90" s="106"/>
      <c r="K90" s="106"/>
      <c r="L90" s="106"/>
      <c r="M90" s="106"/>
    </row>
    <row r="91" spans="1:13" outlineLevel="1" x14ac:dyDescent="0.2">
      <c r="A91" s="96" t="s">
        <v>210</v>
      </c>
      <c r="B91">
        <v>1</v>
      </c>
      <c r="C91" t="s">
        <v>77</v>
      </c>
      <c r="D91">
        <v>2875.4750649489001</v>
      </c>
      <c r="E91" t="s">
        <v>52</v>
      </c>
      <c r="F91" s="102">
        <f>pr_ph(B91,D91)</f>
        <v>0.95780826148355758</v>
      </c>
      <c r="G91" s="96" t="s">
        <v>209</v>
      </c>
      <c r="H91" s="103"/>
      <c r="I91" s="106"/>
      <c r="J91" s="106"/>
      <c r="K91" s="106"/>
      <c r="L91" s="106"/>
      <c r="M91" s="106"/>
    </row>
    <row r="92" spans="1:13" s="95" customFormat="1" ht="15" x14ac:dyDescent="0.2">
      <c r="A92" s="100" t="s">
        <v>211</v>
      </c>
      <c r="F92" s="101"/>
      <c r="G92" s="101"/>
      <c r="H92" s="104"/>
      <c r="I92" s="104"/>
      <c r="J92" s="104"/>
      <c r="K92" s="104"/>
      <c r="L92" s="104"/>
      <c r="M92" s="104"/>
    </row>
    <row r="93" spans="1:13" s="94" customFormat="1" ht="11.25" outlineLevel="1" x14ac:dyDescent="0.2">
      <c r="A93" s="94" t="s">
        <v>212</v>
      </c>
      <c r="F93" s="93"/>
      <c r="G93" s="93"/>
    </row>
    <row r="94" spans="1:13" s="94" customFormat="1" outlineLevel="1" x14ac:dyDescent="0.2">
      <c r="A94" s="96" t="s">
        <v>213</v>
      </c>
      <c r="B94" s="97">
        <v>100</v>
      </c>
      <c r="C94" s="97" t="s">
        <v>77</v>
      </c>
      <c r="D94" s="97"/>
      <c r="E94" s="97"/>
      <c r="F94" s="96">
        <f>tcL_p(B94)</f>
        <v>0.52454019458257217</v>
      </c>
      <c r="G94" s="96" t="s">
        <v>214</v>
      </c>
      <c r="H94" s="97" t="s">
        <v>215</v>
      </c>
    </row>
    <row r="95" spans="1:13" s="94" customFormat="1" outlineLevel="1" x14ac:dyDescent="0.2">
      <c r="A95" s="96" t="s">
        <v>216</v>
      </c>
      <c r="B95" s="97">
        <v>1</v>
      </c>
      <c r="C95" s="97" t="s">
        <v>77</v>
      </c>
      <c r="D95" s="97"/>
      <c r="E95" s="97"/>
      <c r="F95" s="96">
        <f>tcV_p(B95)</f>
        <v>2.4753667592350453E-2</v>
      </c>
      <c r="G95" s="96" t="s">
        <v>214</v>
      </c>
      <c r="H95" s="97" t="s">
        <v>217</v>
      </c>
    </row>
    <row r="96" spans="1:13" s="94" customFormat="1" outlineLevel="1" x14ac:dyDescent="0.2">
      <c r="A96" s="96" t="s">
        <v>218</v>
      </c>
      <c r="B96" s="97">
        <v>100</v>
      </c>
      <c r="C96" s="97" t="s">
        <v>45</v>
      </c>
      <c r="D96" s="97"/>
      <c r="E96" s="97"/>
      <c r="F96" s="96">
        <f>tcL_T(B96)</f>
        <v>0.67775751158715036</v>
      </c>
      <c r="G96" s="96" t="s">
        <v>214</v>
      </c>
      <c r="H96" s="97" t="s">
        <v>215</v>
      </c>
    </row>
    <row r="97" spans="1:8" s="94" customFormat="1" outlineLevel="1" x14ac:dyDescent="0.2">
      <c r="A97" s="96" t="s">
        <v>219</v>
      </c>
      <c r="B97" s="97">
        <v>100</v>
      </c>
      <c r="C97" s="97" t="s">
        <v>45</v>
      </c>
      <c r="D97" s="97"/>
      <c r="E97" s="97"/>
      <c r="F97" s="96">
        <f>tcV_T(B97)</f>
        <v>2.4793871441017475E-2</v>
      </c>
      <c r="G97" s="96" t="s">
        <v>214</v>
      </c>
      <c r="H97" s="97" t="s">
        <v>217</v>
      </c>
    </row>
    <row r="98" spans="1:8" s="94" customFormat="1" outlineLevel="1" x14ac:dyDescent="0.2">
      <c r="A98" s="96" t="s">
        <v>220</v>
      </c>
      <c r="B98" s="97">
        <v>100</v>
      </c>
      <c r="C98" s="97" t="s">
        <v>77</v>
      </c>
      <c r="D98" s="97">
        <v>350</v>
      </c>
      <c r="E98" s="97" t="s">
        <v>45</v>
      </c>
      <c r="F98" s="96">
        <f>tc_pt(B98,D98)</f>
        <v>6.8545303752530942E-2</v>
      </c>
      <c r="G98" s="96" t="s">
        <v>214</v>
      </c>
      <c r="H98" s="97" t="s">
        <v>221</v>
      </c>
    </row>
    <row r="99" spans="1:8" s="94" customFormat="1" outlineLevel="1" x14ac:dyDescent="0.2">
      <c r="A99" s="96" t="s">
        <v>222</v>
      </c>
      <c r="B99" s="97">
        <v>1</v>
      </c>
      <c r="C99" s="97" t="s">
        <v>77</v>
      </c>
      <c r="D99" s="97">
        <v>350</v>
      </c>
      <c r="E99" s="97" t="s">
        <v>81</v>
      </c>
      <c r="F99" s="96">
        <f>tc_ph(B99,D99)</f>
        <v>0.66929633215745066</v>
      </c>
      <c r="G99" s="96" t="s">
        <v>214</v>
      </c>
      <c r="H99" s="97" t="s">
        <v>223</v>
      </c>
    </row>
    <row r="100" spans="1:8" s="94" customFormat="1" outlineLevel="1" x14ac:dyDescent="0.2">
      <c r="A100" s="96" t="s">
        <v>224</v>
      </c>
      <c r="B100" s="97">
        <v>100</v>
      </c>
      <c r="C100" s="97" t="s">
        <v>81</v>
      </c>
      <c r="D100" s="97">
        <v>0.34</v>
      </c>
      <c r="E100" s="97" t="s">
        <v>81</v>
      </c>
      <c r="F100" s="96">
        <f>tc_hs(B100,D100)</f>
        <v>0.60628312384891225</v>
      </c>
      <c r="G100" s="96" t="s">
        <v>214</v>
      </c>
      <c r="H100" s="97" t="s">
        <v>225</v>
      </c>
    </row>
    <row r="101" spans="1:8" s="94" customFormat="1" ht="15" x14ac:dyDescent="0.2">
      <c r="A101" s="100" t="s">
        <v>226</v>
      </c>
      <c r="B101" s="97"/>
      <c r="C101" s="97"/>
      <c r="D101" s="97"/>
      <c r="E101" s="97"/>
      <c r="F101" s="96"/>
      <c r="G101" s="96"/>
      <c r="H101" s="97"/>
    </row>
    <row r="102" spans="1:8" s="94" customFormat="1" ht="11.25" outlineLevel="1" x14ac:dyDescent="0.2">
      <c r="A102" s="94" t="s">
        <v>227</v>
      </c>
      <c r="F102" s="93"/>
      <c r="G102" s="93"/>
    </row>
    <row r="103" spans="1:8" s="94" customFormat="1" outlineLevel="1" x14ac:dyDescent="0.2">
      <c r="A103" s="96" t="s">
        <v>228</v>
      </c>
      <c r="B103" s="97">
        <v>100</v>
      </c>
      <c r="C103" s="97" t="s">
        <v>45</v>
      </c>
      <c r="D103" s="97"/>
      <c r="E103" s="97"/>
      <c r="F103" s="96">
        <f>st_T(B104)</f>
        <v>7.5507661585837646E-2</v>
      </c>
      <c r="G103" s="96" t="s">
        <v>229</v>
      </c>
      <c r="H103" s="97" t="s">
        <v>230</v>
      </c>
    </row>
    <row r="104" spans="1:8" s="94" customFormat="1" outlineLevel="1" x14ac:dyDescent="0.2">
      <c r="A104" s="96" t="s">
        <v>231</v>
      </c>
      <c r="B104" s="97">
        <v>1</v>
      </c>
      <c r="C104" s="97" t="s">
        <v>77</v>
      </c>
      <c r="D104" s="97"/>
      <c r="E104" s="97"/>
      <c r="F104" s="96">
        <f>st_p(B104)</f>
        <v>5.8987784180859933E-2</v>
      </c>
      <c r="G104" s="96" t="s">
        <v>229</v>
      </c>
      <c r="H104" s="97" t="s">
        <v>230</v>
      </c>
    </row>
    <row r="105" spans="1:8" s="95" customFormat="1" ht="15" x14ac:dyDescent="0.2">
      <c r="A105" s="100" t="s">
        <v>65</v>
      </c>
      <c r="F105" s="101"/>
      <c r="G105" s="101"/>
    </row>
    <row r="106" spans="1:8" s="94" customFormat="1" outlineLevel="1" x14ac:dyDescent="0.2">
      <c r="A106" s="96" t="s">
        <v>232</v>
      </c>
      <c r="B106" s="97">
        <v>1</v>
      </c>
      <c r="C106" s="97" t="s">
        <v>77</v>
      </c>
      <c r="D106" s="97">
        <v>1000</v>
      </c>
      <c r="E106" s="97" t="s">
        <v>52</v>
      </c>
      <c r="F106" s="96">
        <f>x_ph(B106,D106)</f>
        <v>0.25805542390279518</v>
      </c>
      <c r="G106" s="96"/>
      <c r="H106" s="97" t="s">
        <v>233</v>
      </c>
    </row>
    <row r="107" spans="1:8" s="94" customFormat="1" outlineLevel="1" x14ac:dyDescent="0.2">
      <c r="A107" s="96" t="s">
        <v>234</v>
      </c>
      <c r="B107" s="97">
        <v>1</v>
      </c>
      <c r="C107" s="97" t="s">
        <v>77</v>
      </c>
      <c r="D107" s="97">
        <v>4</v>
      </c>
      <c r="E107" s="97" t="s">
        <v>81</v>
      </c>
      <c r="F107" s="96">
        <f>x_ps(B107,D107)</f>
        <v>0.4453979607323203</v>
      </c>
      <c r="G107" s="96"/>
      <c r="H107" s="97" t="s">
        <v>235</v>
      </c>
    </row>
    <row r="108" spans="1:8" s="95" customFormat="1" ht="15" x14ac:dyDescent="0.2">
      <c r="A108" s="100" t="s">
        <v>236</v>
      </c>
      <c r="F108" s="101"/>
      <c r="G108" s="101"/>
    </row>
    <row r="109" spans="1:8" s="94" customFormat="1" ht="11.25" outlineLevel="1" x14ac:dyDescent="0.2">
      <c r="A109" s="94" t="s">
        <v>237</v>
      </c>
      <c r="F109" s="93"/>
      <c r="G109" s="93"/>
    </row>
    <row r="110" spans="1:8" s="94" customFormat="1" ht="11.25" outlineLevel="1" x14ac:dyDescent="0.2">
      <c r="A110" s="94" t="s">
        <v>238</v>
      </c>
      <c r="F110" s="93"/>
      <c r="G110" s="93"/>
    </row>
    <row r="111" spans="1:8" s="94" customFormat="1" outlineLevel="1" x14ac:dyDescent="0.2">
      <c r="A111" s="96" t="s">
        <v>239</v>
      </c>
      <c r="B111" s="97">
        <v>1</v>
      </c>
      <c r="C111" s="97" t="s">
        <v>77</v>
      </c>
      <c r="D111" s="97">
        <v>418</v>
      </c>
      <c r="E111" s="97" t="s">
        <v>52</v>
      </c>
      <c r="F111" s="105">
        <f>vx_ph(B111,D111)</f>
        <v>0.28849309343706725</v>
      </c>
      <c r="G111" s="96"/>
      <c r="H111" s="97" t="s">
        <v>240</v>
      </c>
    </row>
    <row r="112" spans="1:8" s="94" customFormat="1" outlineLevel="1" x14ac:dyDescent="0.2">
      <c r="A112" s="96" t="s">
        <v>241</v>
      </c>
      <c r="B112" s="97">
        <v>1</v>
      </c>
      <c r="C112" s="97" t="s">
        <v>77</v>
      </c>
      <c r="D112" s="97">
        <v>4</v>
      </c>
      <c r="E112" s="97" t="s">
        <v>81</v>
      </c>
      <c r="F112" s="105">
        <f>vx_ps(B112,D112)</f>
        <v>0.99923382663888027</v>
      </c>
      <c r="G112" s="96"/>
      <c r="H112" s="97" t="s">
        <v>242</v>
      </c>
    </row>
    <row r="113" spans="1:7" s="94" customFormat="1" ht="11.25" x14ac:dyDescent="0.2">
      <c r="F113" s="93"/>
      <c r="G113" s="93"/>
    </row>
    <row r="114" spans="1:7" ht="15" x14ac:dyDescent="0.2">
      <c r="A114" s="100" t="s">
        <v>243</v>
      </c>
    </row>
    <row r="115" spans="1:7" x14ac:dyDescent="0.2">
      <c r="A115" s="93" t="s">
        <v>244</v>
      </c>
    </row>
    <row r="116" spans="1:7" x14ac:dyDescent="0.2">
      <c r="A116" s="94" t="s">
        <v>245</v>
      </c>
    </row>
    <row r="117" spans="1:7" x14ac:dyDescent="0.2">
      <c r="A117" s="94" t="s">
        <v>246</v>
      </c>
    </row>
    <row r="118" spans="1:7" x14ac:dyDescent="0.2">
      <c r="A118" s="93" t="s">
        <v>247</v>
      </c>
    </row>
    <row r="119" spans="1:7" x14ac:dyDescent="0.2">
      <c r="A119" s="94" t="s">
        <v>248</v>
      </c>
    </row>
    <row r="120" spans="1:7" x14ac:dyDescent="0.2">
      <c r="A120" s="94" t="s">
        <v>249</v>
      </c>
    </row>
    <row r="121" spans="1:7" x14ac:dyDescent="0.2">
      <c r="A121" s="94" t="s">
        <v>250</v>
      </c>
    </row>
    <row r="122" spans="1:7" x14ac:dyDescent="0.2">
      <c r="A122" s="93" t="s">
        <v>251</v>
      </c>
    </row>
    <row r="123" spans="1:7" x14ac:dyDescent="0.2">
      <c r="A123" s="94" t="s">
        <v>252</v>
      </c>
    </row>
    <row r="124" spans="1:7" x14ac:dyDescent="0.2">
      <c r="A124" s="93" t="s">
        <v>253</v>
      </c>
    </row>
    <row r="125" spans="1:7" x14ac:dyDescent="0.2">
      <c r="A125" s="94" t="s">
        <v>254</v>
      </c>
    </row>
    <row r="126" spans="1:7" x14ac:dyDescent="0.2">
      <c r="A126" s="94" t="s">
        <v>255</v>
      </c>
    </row>
    <row r="127" spans="1:7" ht="10.9" customHeight="1" x14ac:dyDescent="0.2">
      <c r="A127" s="94" t="s">
        <v>256</v>
      </c>
    </row>
    <row r="128" spans="1:7" ht="11.45" customHeight="1" x14ac:dyDescent="0.2">
      <c r="A128" s="94" t="s">
        <v>257</v>
      </c>
    </row>
    <row r="129" spans="1:1" ht="11.45" customHeight="1" x14ac:dyDescent="0.2">
      <c r="A129" s="93" t="s">
        <v>258</v>
      </c>
    </row>
    <row r="130" spans="1:1" x14ac:dyDescent="0.2">
      <c r="A130" s="94" t="s">
        <v>259</v>
      </c>
    </row>
    <row r="131" spans="1:1" x14ac:dyDescent="0.2">
      <c r="A131" s="94" t="s">
        <v>260</v>
      </c>
    </row>
    <row r="132" spans="1:1" x14ac:dyDescent="0.2">
      <c r="A132" s="94" t="s">
        <v>261</v>
      </c>
    </row>
    <row r="133" spans="1:1" x14ac:dyDescent="0.2">
      <c r="A133" s="94" t="s">
        <v>262</v>
      </c>
    </row>
    <row r="134" spans="1:1" x14ac:dyDescent="0.2">
      <c r="A134" s="94" t="s">
        <v>263</v>
      </c>
    </row>
    <row r="135" spans="1:1" x14ac:dyDescent="0.2">
      <c r="A135" s="93" t="s">
        <v>264</v>
      </c>
    </row>
    <row r="136" spans="1:1" x14ac:dyDescent="0.2">
      <c r="A136" s="94" t="s">
        <v>260</v>
      </c>
    </row>
    <row r="137" spans="1:1" x14ac:dyDescent="0.2">
      <c r="A137" s="94" t="s">
        <v>265</v>
      </c>
    </row>
    <row r="138" spans="1:1" x14ac:dyDescent="0.2">
      <c r="A138" s="94" t="s">
        <v>266</v>
      </c>
    </row>
    <row r="139" spans="1:1" x14ac:dyDescent="0.2">
      <c r="A139" s="94" t="s">
        <v>267</v>
      </c>
    </row>
    <row r="140" spans="1:1" x14ac:dyDescent="0.2">
      <c r="A140" s="94" t="s">
        <v>268</v>
      </c>
    </row>
    <row r="141" spans="1:1" x14ac:dyDescent="0.2">
      <c r="A141" s="93" t="s">
        <v>269</v>
      </c>
    </row>
    <row r="142" spans="1:1" x14ac:dyDescent="0.2">
      <c r="A142" s="94" t="s">
        <v>270</v>
      </c>
    </row>
    <row r="143" spans="1:1" x14ac:dyDescent="0.2">
      <c r="A143" s="94" t="s">
        <v>271</v>
      </c>
    </row>
    <row r="144" spans="1:1" x14ac:dyDescent="0.2">
      <c r="A144" s="94" t="s">
        <v>272</v>
      </c>
    </row>
    <row r="145" spans="1:1" x14ac:dyDescent="0.2">
      <c r="A145" s="93" t="s">
        <v>273</v>
      </c>
    </row>
    <row r="146" spans="1:1" x14ac:dyDescent="0.2">
      <c r="A146" s="94" t="s">
        <v>274</v>
      </c>
    </row>
    <row r="147" spans="1:1" x14ac:dyDescent="0.2">
      <c r="A147" s="94" t="s">
        <v>275</v>
      </c>
    </row>
    <row r="148" spans="1:1" x14ac:dyDescent="0.2">
      <c r="A148" s="94" t="s">
        <v>276</v>
      </c>
    </row>
    <row r="149" spans="1:1" x14ac:dyDescent="0.2">
      <c r="A149" s="94" t="s">
        <v>277</v>
      </c>
    </row>
    <row r="150" spans="1:1" x14ac:dyDescent="0.2">
      <c r="A150" s="94" t="s">
        <v>278</v>
      </c>
    </row>
  </sheetData>
  <phoneticPr fontId="31" type="noConversion"/>
  <hyperlinks>
    <hyperlink ref="E1" r:id="rId1"/>
    <hyperlink ref="F4" r:id="rId2"/>
  </hyperlinks>
  <pageMargins left="0.78680555555555598" right="0.78680555555555598" top="0.98402777777777795" bottom="0.98402777777777795" header="0.5" footer="0.5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77"/>
  <sheetViews>
    <sheetView zoomScale="85" zoomScaleNormal="85" workbookViewId="0">
      <selection activeCell="E17" sqref="E17"/>
    </sheetView>
  </sheetViews>
  <sheetFormatPr defaultColWidth="9.140625" defaultRowHeight="12.75" outlineLevelRow="1" x14ac:dyDescent="0.2"/>
  <cols>
    <col min="1" max="1" width="2.140625" style="2" customWidth="1"/>
    <col min="2" max="2" width="23.42578125" style="2" customWidth="1"/>
    <col min="3" max="3" width="8" style="2" customWidth="1"/>
    <col min="4" max="4" width="8.42578125" style="2" customWidth="1"/>
    <col min="5" max="6" width="10.140625" style="3" customWidth="1"/>
    <col min="7" max="8" width="9.7109375" style="3" customWidth="1"/>
    <col min="9" max="10" width="9.7109375" style="2" customWidth="1"/>
    <col min="11" max="11" width="10" style="2" customWidth="1"/>
    <col min="12" max="12" width="30.85546875" style="2" customWidth="1"/>
    <col min="13" max="16384" width="9.140625" style="2"/>
  </cols>
  <sheetData>
    <row r="1" spans="1:16" ht="12.75" customHeight="1" x14ac:dyDescent="0.2">
      <c r="A1" s="4"/>
      <c r="B1" s="5" t="s">
        <v>279</v>
      </c>
      <c r="C1" s="5"/>
      <c r="D1" s="5" t="s">
        <v>280</v>
      </c>
      <c r="G1" s="5" t="s">
        <v>281</v>
      </c>
    </row>
    <row r="2" spans="1:16" ht="21" customHeight="1" x14ac:dyDescent="0.2">
      <c r="A2" s="4"/>
      <c r="B2" s="6" t="s">
        <v>282</v>
      </c>
      <c r="C2" s="7"/>
      <c r="D2" s="7" t="s">
        <v>283</v>
      </c>
      <c r="E2" s="8"/>
      <c r="F2" s="8"/>
      <c r="G2" s="7" t="s">
        <v>284</v>
      </c>
      <c r="H2" s="8"/>
    </row>
    <row r="3" spans="1:16" ht="56.25" customHeight="1" x14ac:dyDescent="0.2">
      <c r="A3" s="4"/>
      <c r="B3" s="9" t="s">
        <v>285</v>
      </c>
      <c r="C3" s="9"/>
      <c r="D3" s="9"/>
      <c r="E3" s="10" t="s">
        <v>286</v>
      </c>
      <c r="F3" s="11"/>
      <c r="G3" s="2"/>
      <c r="H3" s="2"/>
    </row>
    <row r="4" spans="1:16" ht="39" hidden="1" customHeight="1" outlineLevel="1" x14ac:dyDescent="0.25">
      <c r="A4" s="4"/>
      <c r="B4" s="12" t="s">
        <v>287</v>
      </c>
      <c r="C4" s="13"/>
      <c r="D4" s="14"/>
      <c r="E4" s="15" t="s">
        <v>288</v>
      </c>
      <c r="F4" s="16"/>
      <c r="G4" s="17"/>
      <c r="H4" s="15">
        <v>205</v>
      </c>
    </row>
    <row r="5" spans="1:16" ht="57" hidden="1" customHeight="1" outlineLevel="1" x14ac:dyDescent="0.25">
      <c r="A5" s="4"/>
      <c r="B5" s="12" t="s">
        <v>289</v>
      </c>
      <c r="C5" s="13"/>
      <c r="D5" s="14"/>
      <c r="E5" s="15" t="s">
        <v>290</v>
      </c>
      <c r="F5" s="18"/>
      <c r="G5" s="17"/>
      <c r="H5" s="19">
        <v>3</v>
      </c>
    </row>
    <row r="6" spans="1:16" ht="49.5" hidden="1" customHeight="1" outlineLevel="1" x14ac:dyDescent="0.25">
      <c r="A6" s="4"/>
      <c r="B6" s="20" t="s">
        <v>291</v>
      </c>
      <c r="C6" s="21"/>
      <c r="D6" s="15">
        <v>420</v>
      </c>
      <c r="E6" s="15" t="s">
        <v>292</v>
      </c>
      <c r="F6" s="17"/>
      <c r="G6" s="17"/>
      <c r="H6" s="22">
        <v>6300</v>
      </c>
    </row>
    <row r="7" spans="1:16" ht="49.5" hidden="1" customHeight="1" outlineLevel="1" x14ac:dyDescent="0.25">
      <c r="A7" s="4"/>
      <c r="B7" s="20" t="s">
        <v>293</v>
      </c>
      <c r="C7" s="21"/>
      <c r="D7" s="15">
        <v>70</v>
      </c>
      <c r="E7" s="15" t="s">
        <v>294</v>
      </c>
      <c r="F7" s="17"/>
      <c r="G7" s="17"/>
      <c r="H7" s="22">
        <v>6200</v>
      </c>
    </row>
    <row r="8" spans="1:16" ht="54.75" hidden="1" customHeight="1" outlineLevel="1" x14ac:dyDescent="0.25">
      <c r="A8" s="4"/>
      <c r="B8" s="20" t="s">
        <v>295</v>
      </c>
      <c r="C8" s="21"/>
      <c r="D8" s="15">
        <v>140</v>
      </c>
      <c r="E8" s="14"/>
      <c r="F8" s="23"/>
      <c r="G8" s="17"/>
      <c r="H8" s="19"/>
    </row>
    <row r="9" spans="1:16" ht="49.5" hidden="1" customHeight="1" outlineLevel="1" x14ac:dyDescent="0.25">
      <c r="A9" s="4"/>
      <c r="B9" s="20" t="s">
        <v>296</v>
      </c>
      <c r="C9" s="21"/>
      <c r="D9" s="21"/>
      <c r="E9" s="14"/>
      <c r="F9" s="23"/>
      <c r="G9" s="17"/>
      <c r="H9" s="19"/>
    </row>
    <row r="10" spans="1:16" ht="31.5" hidden="1" customHeight="1" outlineLevel="1" x14ac:dyDescent="0.25">
      <c r="A10" s="4"/>
      <c r="B10" s="20" t="s">
        <v>297</v>
      </c>
      <c r="C10" s="21"/>
      <c r="D10" s="21"/>
      <c r="E10" s="14"/>
      <c r="F10" s="24"/>
      <c r="G10" s="17"/>
      <c r="H10" s="17"/>
    </row>
    <row r="11" spans="1:16" ht="13.5" customHeight="1" collapsed="1" x14ac:dyDescent="0.2">
      <c r="A11" s="4"/>
      <c r="E11" s="2"/>
      <c r="F11" s="2"/>
      <c r="G11"/>
    </row>
    <row r="12" spans="1:16" ht="13.5" customHeight="1" x14ac:dyDescent="0.2">
      <c r="A12" s="25"/>
      <c r="B12" s="26"/>
      <c r="C12" s="26"/>
      <c r="D12" s="26"/>
      <c r="E12" s="2"/>
      <c r="F12" s="2"/>
      <c r="G12" s="2"/>
      <c r="H12" s="2"/>
    </row>
    <row r="13" spans="1:16" ht="12.75" customHeight="1" x14ac:dyDescent="0.2">
      <c r="A13" s="4"/>
      <c r="B13" s="27" t="s">
        <v>298</v>
      </c>
      <c r="C13" s="28"/>
      <c r="D13" s="29"/>
      <c r="E13" s="30" t="s">
        <v>299</v>
      </c>
      <c r="F13" s="30" t="s">
        <v>300</v>
      </c>
      <c r="G13" s="2"/>
      <c r="H13" s="2"/>
      <c r="I13" s="86"/>
      <c r="L13" s="86"/>
      <c r="M13" s="86"/>
      <c r="N13" s="86"/>
      <c r="O13" s="86"/>
      <c r="P13" s="4"/>
    </row>
    <row r="14" spans="1:16" ht="12.75" customHeight="1" x14ac:dyDescent="0.2">
      <c r="A14" s="25"/>
      <c r="B14" s="31" t="s">
        <v>301</v>
      </c>
      <c r="C14" s="32" t="s">
        <v>302</v>
      </c>
      <c r="D14" s="33" t="s">
        <v>303</v>
      </c>
      <c r="E14" s="34">
        <v>24.3</v>
      </c>
      <c r="F14" s="34">
        <v>24.3</v>
      </c>
      <c r="G14" s="2"/>
      <c r="H14" s="2"/>
      <c r="I14" s="87"/>
      <c r="L14" s="87"/>
      <c r="M14" s="87"/>
      <c r="N14" s="87"/>
      <c r="O14" s="87"/>
      <c r="P14" s="4"/>
    </row>
    <row r="15" spans="1:16" ht="12.75" customHeight="1" x14ac:dyDescent="0.2">
      <c r="A15" s="35"/>
      <c r="B15" s="36" t="s">
        <v>46</v>
      </c>
      <c r="C15" s="32" t="s">
        <v>304</v>
      </c>
      <c r="D15" s="33" t="s">
        <v>305</v>
      </c>
      <c r="E15" s="37">
        <v>64</v>
      </c>
      <c r="F15" s="37">
        <v>64</v>
      </c>
      <c r="G15" s="2"/>
      <c r="H15" s="2"/>
      <c r="I15" s="87"/>
      <c r="L15" s="87"/>
      <c r="M15" s="87"/>
      <c r="N15" s="87"/>
      <c r="O15" s="87"/>
      <c r="P15" s="4"/>
    </row>
    <row r="16" spans="1:16" ht="12.75" customHeight="1" x14ac:dyDescent="0.2">
      <c r="A16" s="38"/>
      <c r="B16" s="36" t="s">
        <v>44</v>
      </c>
      <c r="C16" s="32" t="s">
        <v>306</v>
      </c>
      <c r="D16" s="33" t="s">
        <v>307</v>
      </c>
      <c r="E16" s="37">
        <v>480</v>
      </c>
      <c r="F16" s="37">
        <v>480</v>
      </c>
      <c r="G16" s="2"/>
      <c r="H16" s="2"/>
      <c r="I16" s="87"/>
      <c r="L16" s="87"/>
      <c r="M16" s="87"/>
      <c r="N16" s="87"/>
      <c r="O16" s="87"/>
      <c r="P16" s="4"/>
    </row>
    <row r="17" spans="1:16" ht="12.75" customHeight="1" x14ac:dyDescent="0.2">
      <c r="A17" s="39"/>
      <c r="B17" s="36" t="s">
        <v>51</v>
      </c>
      <c r="C17" s="32" t="s">
        <v>308</v>
      </c>
      <c r="D17" s="33" t="s">
        <v>309</v>
      </c>
      <c r="E17" s="37">
        <f>h_pT(E15,E16)</f>
        <v>3370.1446599656861</v>
      </c>
      <c r="F17" s="37">
        <f>h_pT(F15,F16)</f>
        <v>3370.1446599656861</v>
      </c>
      <c r="G17" s="2"/>
      <c r="H17" s="2"/>
      <c r="I17" s="87"/>
      <c r="L17" s="87"/>
      <c r="M17" s="87"/>
      <c r="N17" s="87"/>
      <c r="O17" s="87"/>
      <c r="P17" s="4"/>
    </row>
    <row r="18" spans="1:16" ht="12.75" customHeight="1" x14ac:dyDescent="0.2">
      <c r="A18" s="39"/>
      <c r="B18" s="40"/>
      <c r="C18" s="41"/>
      <c r="D18" s="42"/>
      <c r="E18" s="43"/>
      <c r="F18" s="43"/>
      <c r="G18" s="2"/>
      <c r="H18" s="2"/>
      <c r="I18" s="87"/>
      <c r="L18" s="87"/>
      <c r="M18" s="87"/>
      <c r="N18" s="87"/>
      <c r="O18" s="87"/>
      <c r="P18" s="4"/>
    </row>
    <row r="19" spans="1:16" ht="12.75" customHeight="1" x14ac:dyDescent="0.2">
      <c r="A19" s="39"/>
      <c r="B19" s="40"/>
      <c r="C19" s="41"/>
      <c r="D19" s="42"/>
      <c r="E19" s="44"/>
      <c r="F19" s="44"/>
      <c r="G19" s="2"/>
      <c r="H19" s="45"/>
      <c r="I19" s="87"/>
      <c r="L19" s="87"/>
      <c r="M19" s="87"/>
      <c r="N19" s="87"/>
      <c r="O19" s="87"/>
      <c r="P19" s="4"/>
    </row>
    <row r="20" spans="1:16" ht="12.75" customHeight="1" x14ac:dyDescent="0.2">
      <c r="A20" s="39"/>
      <c r="B20" s="46" t="s">
        <v>310</v>
      </c>
      <c r="C20" s="47"/>
      <c r="D20" s="48"/>
      <c r="E20" s="49"/>
      <c r="F20" s="44"/>
      <c r="G20" s="2"/>
      <c r="H20" s="45"/>
      <c r="I20" s="87"/>
      <c r="L20" s="87"/>
      <c r="M20" s="87"/>
      <c r="N20" s="87"/>
      <c r="O20" s="87"/>
      <c r="P20" s="4"/>
    </row>
    <row r="21" spans="1:16" ht="12.75" hidden="1" customHeight="1" x14ac:dyDescent="0.2">
      <c r="A21" s="39"/>
      <c r="B21" s="50" t="s">
        <v>311</v>
      </c>
      <c r="C21" s="51" t="s">
        <v>312</v>
      </c>
      <c r="D21" s="52" t="s">
        <v>313</v>
      </c>
      <c r="E21" s="53">
        <v>0.1288</v>
      </c>
      <c r="F21" s="53">
        <v>0.27900000000000003</v>
      </c>
      <c r="G21" s="2"/>
      <c r="H21" s="45"/>
      <c r="I21" s="87"/>
      <c r="L21" s="87"/>
      <c r="M21" s="87"/>
      <c r="N21" s="87"/>
      <c r="O21" s="87"/>
      <c r="P21" s="4"/>
    </row>
    <row r="22" spans="1:16" ht="12.75" customHeight="1" x14ac:dyDescent="0.2">
      <c r="A22" s="39"/>
      <c r="B22" s="31" t="s">
        <v>314</v>
      </c>
      <c r="C22" s="32" t="s">
        <v>315</v>
      </c>
      <c r="D22" s="33" t="s">
        <v>303</v>
      </c>
      <c r="E22" s="54">
        <f>0.2435*3.6</f>
        <v>0.87660000000000005</v>
      </c>
      <c r="F22" s="54">
        <f>0.2957*3.6</f>
        <v>1.0645200000000001</v>
      </c>
      <c r="G22" s="2"/>
      <c r="H22" s="45"/>
      <c r="I22" s="87"/>
      <c r="L22" s="87"/>
      <c r="M22" s="87"/>
      <c r="N22" s="87"/>
      <c r="O22" s="87"/>
      <c r="P22" s="4"/>
    </row>
    <row r="23" spans="1:16" ht="12.75" customHeight="1" x14ac:dyDescent="0.2">
      <c r="A23" s="39"/>
      <c r="B23" s="36" t="s">
        <v>46</v>
      </c>
      <c r="C23" s="32" t="s">
        <v>316</v>
      </c>
      <c r="D23" s="33" t="s">
        <v>305</v>
      </c>
      <c r="E23" s="34">
        <v>6.2859999999999996</v>
      </c>
      <c r="F23" s="34">
        <v>5.8819999999999997</v>
      </c>
      <c r="G23" s="2"/>
      <c r="H23" s="45"/>
      <c r="I23" s="87"/>
      <c r="L23" s="87"/>
      <c r="M23" s="87"/>
      <c r="N23" s="87"/>
      <c r="O23" s="87"/>
      <c r="P23" s="4"/>
    </row>
    <row r="24" spans="1:16" ht="12.75" customHeight="1" x14ac:dyDescent="0.2">
      <c r="A24" s="39"/>
      <c r="B24" s="36" t="s">
        <v>44</v>
      </c>
      <c r="C24" s="32" t="s">
        <v>317</v>
      </c>
      <c r="D24" s="33" t="s">
        <v>307</v>
      </c>
      <c r="E24" s="37">
        <f>T_ph(E23,E25)</f>
        <v>228.96465332023348</v>
      </c>
      <c r="F24" s="37">
        <f>T_ph(F23,F25)</f>
        <v>223.41718366879803</v>
      </c>
      <c r="G24" s="2"/>
      <c r="H24" s="45"/>
      <c r="I24" s="87"/>
      <c r="L24" s="87"/>
      <c r="M24" s="87"/>
      <c r="N24" s="87"/>
      <c r="O24" s="87"/>
      <c r="P24" s="4"/>
    </row>
    <row r="25" spans="1:16" ht="12.75" customHeight="1" x14ac:dyDescent="0.2">
      <c r="A25" s="39"/>
      <c r="B25" s="36" t="s">
        <v>51</v>
      </c>
      <c r="C25" s="32" t="s">
        <v>318</v>
      </c>
      <c r="D25" s="33" t="s">
        <v>309</v>
      </c>
      <c r="E25" s="37">
        <v>2911.99</v>
      </c>
      <c r="F25" s="37">
        <v>2901.84</v>
      </c>
      <c r="G25" s="2"/>
      <c r="H25" s="45"/>
      <c r="I25" s="87"/>
      <c r="L25" s="87"/>
      <c r="M25" s="87"/>
      <c r="N25" s="87"/>
      <c r="O25" s="87"/>
      <c r="P25" s="4"/>
    </row>
    <row r="26" spans="1:16" ht="12.75" customHeight="1" x14ac:dyDescent="0.2">
      <c r="A26" s="39"/>
      <c r="B26" s="36" t="s">
        <v>319</v>
      </c>
      <c r="C26" s="32" t="s">
        <v>317</v>
      </c>
      <c r="D26" s="33" t="s">
        <v>307</v>
      </c>
      <c r="E26" s="37">
        <v>135</v>
      </c>
      <c r="F26" s="37">
        <v>135</v>
      </c>
      <c r="G26" s="2"/>
      <c r="H26" s="45"/>
      <c r="I26" s="87"/>
      <c r="L26" s="87"/>
      <c r="M26" s="87"/>
      <c r="N26" s="87"/>
      <c r="O26" s="87"/>
      <c r="P26" s="4"/>
    </row>
    <row r="27" spans="1:16" ht="12.75" customHeight="1" x14ac:dyDescent="0.2">
      <c r="B27" s="40"/>
      <c r="C27" s="41"/>
      <c r="D27" s="42"/>
      <c r="E27" s="55"/>
      <c r="F27" s="55"/>
      <c r="G27" s="2"/>
      <c r="H27" s="2"/>
      <c r="I27" s="87"/>
      <c r="L27" s="87"/>
      <c r="M27" s="87"/>
      <c r="N27" s="87"/>
      <c r="O27" s="87"/>
      <c r="P27" s="4"/>
    </row>
    <row r="28" spans="1:16" ht="12.75" customHeight="1" x14ac:dyDescent="0.2">
      <c r="B28" s="46" t="s">
        <v>320</v>
      </c>
      <c r="C28" s="47"/>
      <c r="D28" s="48"/>
      <c r="E28" s="49"/>
      <c r="F28" s="44"/>
      <c r="G28" s="2"/>
      <c r="H28" s="2"/>
      <c r="I28" s="87"/>
      <c r="L28" s="87"/>
      <c r="M28" s="87"/>
      <c r="N28" s="87"/>
      <c r="O28" s="87"/>
      <c r="P28" s="4"/>
    </row>
    <row r="29" spans="1:16" ht="12.75" customHeight="1" x14ac:dyDescent="0.2">
      <c r="B29" s="31" t="s">
        <v>321</v>
      </c>
      <c r="C29" s="56" t="s">
        <v>322</v>
      </c>
      <c r="D29" s="57" t="s">
        <v>303</v>
      </c>
      <c r="E29" s="54">
        <v>0</v>
      </c>
      <c r="F29" s="54">
        <v>7.4</v>
      </c>
      <c r="G29" s="2"/>
      <c r="H29" s="2"/>
      <c r="I29" s="87"/>
      <c r="L29" s="87"/>
      <c r="M29" s="87"/>
      <c r="N29" s="87"/>
      <c r="O29" s="87"/>
      <c r="P29" s="4"/>
    </row>
    <row r="30" spans="1:16" ht="12.75" hidden="1" customHeight="1" x14ac:dyDescent="0.2">
      <c r="B30" s="50" t="s">
        <v>323</v>
      </c>
      <c r="C30" s="51" t="s">
        <v>324</v>
      </c>
      <c r="D30" s="52" t="s">
        <v>313</v>
      </c>
      <c r="E30" s="58">
        <v>0.87050000000000005</v>
      </c>
      <c r="F30" s="53">
        <v>0.55579999999999996</v>
      </c>
      <c r="G30" s="2"/>
      <c r="H30" s="2"/>
      <c r="I30" s="87"/>
      <c r="L30" s="87"/>
      <c r="M30" s="87"/>
      <c r="N30" s="87"/>
      <c r="O30" s="87"/>
      <c r="P30" s="4"/>
    </row>
    <row r="31" spans="1:16" ht="12.75" customHeight="1" x14ac:dyDescent="0.2">
      <c r="B31" s="31" t="s">
        <v>323</v>
      </c>
      <c r="C31" s="56" t="s">
        <v>325</v>
      </c>
      <c r="D31" s="57" t="s">
        <v>303</v>
      </c>
      <c r="E31" s="54">
        <f>0.8618*3.6</f>
        <v>3.1024799999999999</v>
      </c>
      <c r="F31" s="54">
        <f>0.7043*3.6</f>
        <v>2.5354800000000002</v>
      </c>
      <c r="G31" s="2"/>
      <c r="H31" s="2"/>
      <c r="I31" s="87"/>
      <c r="L31" s="87"/>
      <c r="M31" s="87"/>
      <c r="N31" s="87"/>
      <c r="O31" s="87"/>
      <c r="P31" s="4"/>
    </row>
    <row r="32" spans="1:16" ht="12.75" customHeight="1" x14ac:dyDescent="0.2">
      <c r="B32" s="36" t="s">
        <v>46</v>
      </c>
      <c r="C32" s="32" t="s">
        <v>326</v>
      </c>
      <c r="D32" s="33" t="s">
        <v>305</v>
      </c>
      <c r="E32" s="34">
        <v>2.7440000000000002</v>
      </c>
      <c r="F32" s="34">
        <v>1.8260000000000001</v>
      </c>
      <c r="G32" s="2"/>
      <c r="H32" s="2"/>
      <c r="I32" s="87"/>
      <c r="L32" s="87"/>
      <c r="M32" s="87"/>
      <c r="N32" s="87"/>
      <c r="O32" s="87"/>
      <c r="P32" s="4"/>
    </row>
    <row r="33" spans="1:16" ht="12.75" customHeight="1" x14ac:dyDescent="0.2">
      <c r="B33" s="36" t="s">
        <v>44</v>
      </c>
      <c r="C33" s="32" t="s">
        <v>327</v>
      </c>
      <c r="D33" s="33" t="s">
        <v>307</v>
      </c>
      <c r="E33" s="37">
        <f>T_ph(E32,E34)</f>
        <v>219.77538165014596</v>
      </c>
      <c r="F33" s="37">
        <f>T_ph(F32,F34)</f>
        <v>148.18484282109421</v>
      </c>
      <c r="G33" s="2"/>
      <c r="H33" s="2"/>
      <c r="I33" s="87"/>
      <c r="L33" s="87"/>
      <c r="M33" s="87"/>
      <c r="N33" s="87"/>
      <c r="O33" s="87"/>
      <c r="P33" s="4"/>
    </row>
    <row r="34" spans="1:16" ht="12.75" customHeight="1" x14ac:dyDescent="0.2">
      <c r="B34" s="36" t="s">
        <v>51</v>
      </c>
      <c r="C34" s="32" t="s">
        <v>328</v>
      </c>
      <c r="D34" s="33" t="s">
        <v>309</v>
      </c>
      <c r="E34" s="37">
        <v>2907.49</v>
      </c>
      <c r="F34" s="34">
        <v>2766.7</v>
      </c>
      <c r="G34" s="2"/>
      <c r="H34" s="2"/>
      <c r="I34" s="87"/>
      <c r="L34" s="87"/>
      <c r="M34" s="87"/>
      <c r="N34" s="87"/>
      <c r="O34" s="87"/>
      <c r="P34" s="4"/>
    </row>
    <row r="35" spans="1:16" ht="12.75" customHeight="1" x14ac:dyDescent="0.2">
      <c r="B35" s="36" t="s">
        <v>329</v>
      </c>
      <c r="C35" s="32" t="s">
        <v>330</v>
      </c>
      <c r="D35" s="33" t="s">
        <v>307</v>
      </c>
      <c r="E35" s="37" t="s">
        <v>209</v>
      </c>
      <c r="F35" s="37">
        <v>115</v>
      </c>
      <c r="G35" s="2"/>
      <c r="H35" s="2"/>
      <c r="I35" s="87"/>
      <c r="L35" s="87"/>
      <c r="M35" s="87"/>
      <c r="N35" s="87"/>
      <c r="O35" s="87"/>
      <c r="P35" s="4"/>
    </row>
    <row r="36" spans="1:16" ht="12.75" customHeight="1" x14ac:dyDescent="0.2">
      <c r="B36" s="36" t="s">
        <v>331</v>
      </c>
      <c r="C36" s="32" t="s">
        <v>332</v>
      </c>
      <c r="D36" s="33" t="s">
        <v>307</v>
      </c>
      <c r="E36" s="37">
        <v>124.33799999999999</v>
      </c>
      <c r="F36" s="37">
        <v>111.419</v>
      </c>
      <c r="G36" s="2"/>
      <c r="H36" s="2"/>
      <c r="I36" s="87"/>
      <c r="L36" s="87"/>
      <c r="M36" s="87"/>
      <c r="N36" s="87"/>
      <c r="O36" s="87"/>
      <c r="P36" s="4"/>
    </row>
    <row r="37" spans="1:16" ht="12.75" customHeight="1" x14ac:dyDescent="0.2">
      <c r="B37" s="40"/>
      <c r="C37" s="41"/>
      <c r="D37" s="42"/>
      <c r="E37" s="55"/>
      <c r="F37" s="55"/>
      <c r="G37" s="2"/>
      <c r="H37" s="2"/>
      <c r="I37" s="87"/>
      <c r="L37" s="87"/>
      <c r="M37" s="87"/>
      <c r="N37" s="87"/>
      <c r="O37" s="87"/>
      <c r="P37" s="4"/>
    </row>
    <row r="38" spans="1:16" ht="12.75" customHeight="1" x14ac:dyDescent="0.2">
      <c r="B38" s="46" t="s">
        <v>333</v>
      </c>
      <c r="C38" s="47"/>
      <c r="D38" s="48"/>
      <c r="E38" s="59"/>
      <c r="F38" s="59"/>
      <c r="G38" s="2"/>
      <c r="H38" s="2"/>
      <c r="I38" s="87"/>
      <c r="L38" s="87"/>
      <c r="M38" s="87"/>
      <c r="N38" s="87"/>
      <c r="O38" s="87"/>
      <c r="P38" s="4"/>
    </row>
    <row r="39" spans="1:16" ht="12.75" customHeight="1" x14ac:dyDescent="0.2">
      <c r="B39" s="31" t="s">
        <v>301</v>
      </c>
      <c r="C39" s="32" t="s">
        <v>334</v>
      </c>
      <c r="D39" s="33" t="s">
        <v>303</v>
      </c>
      <c r="E39" s="54">
        <f>E14-E22-E29-E31</f>
        <v>20.320920000000001</v>
      </c>
      <c r="F39" s="54">
        <f>F14-F22-F29-F31</f>
        <v>13.299999999999999</v>
      </c>
      <c r="G39" s="2"/>
      <c r="H39" s="2"/>
      <c r="I39" s="87"/>
      <c r="L39" s="87"/>
      <c r="M39" s="87"/>
      <c r="N39" s="87"/>
      <c r="O39" s="87"/>
      <c r="P39" s="4"/>
    </row>
    <row r="40" spans="1:16" ht="12.75" customHeight="1" x14ac:dyDescent="0.2">
      <c r="B40" s="36" t="s">
        <v>46</v>
      </c>
      <c r="C40" s="32" t="s">
        <v>335</v>
      </c>
      <c r="D40" s="33" t="s">
        <v>305</v>
      </c>
      <c r="E40" s="60">
        <v>7.4279999999999999E-2</v>
      </c>
      <c r="F40" s="60">
        <v>5.6680000000000001E-2</v>
      </c>
      <c r="G40" s="2"/>
      <c r="H40" s="2"/>
      <c r="I40" s="87"/>
      <c r="L40" s="87"/>
      <c r="M40" s="87"/>
      <c r="N40" s="87"/>
      <c r="O40" s="87"/>
      <c r="P40" s="4"/>
    </row>
    <row r="41" spans="1:16" ht="12.75" customHeight="1" x14ac:dyDescent="0.2">
      <c r="B41" s="36" t="s">
        <v>336</v>
      </c>
      <c r="C41" s="32" t="s">
        <v>337</v>
      </c>
      <c r="D41" s="33" t="s">
        <v>307</v>
      </c>
      <c r="E41" s="61">
        <v>43.64</v>
      </c>
      <c r="F41" s="61">
        <v>38.119999999999997</v>
      </c>
      <c r="G41" s="2"/>
      <c r="H41" s="2"/>
      <c r="I41" s="87"/>
      <c r="L41" s="87"/>
      <c r="M41" s="87"/>
      <c r="N41" s="87"/>
      <c r="O41" s="87"/>
      <c r="P41" s="4"/>
    </row>
    <row r="42" spans="1:16" ht="21.75" customHeight="1" outlineLevel="1" x14ac:dyDescent="0.2">
      <c r="B42" s="62" t="s">
        <v>338</v>
      </c>
      <c r="C42" s="63" t="s">
        <v>339</v>
      </c>
      <c r="D42" s="64" t="s">
        <v>309</v>
      </c>
      <c r="E42" s="65">
        <v>2336.38</v>
      </c>
      <c r="F42" s="65">
        <v>2308.5700000000002</v>
      </c>
      <c r="G42" s="2"/>
      <c r="H42" s="2"/>
      <c r="I42" s="87"/>
      <c r="L42" s="87"/>
      <c r="M42" s="87"/>
      <c r="N42" s="87"/>
      <c r="O42" s="87"/>
      <c r="P42" s="4"/>
    </row>
    <row r="43" spans="1:16" ht="29.25" customHeight="1" outlineLevel="1" x14ac:dyDescent="0.2">
      <c r="B43" s="62"/>
      <c r="C43" s="63"/>
      <c r="D43" s="64"/>
      <c r="E43" s="66">
        <f>3.6*(E46-E48)/E14</f>
        <v>7.7185185185185725</v>
      </c>
      <c r="F43" s="66">
        <f>3.6*(F46-F48)/F14</f>
        <v>3.5703703703704242</v>
      </c>
      <c r="G43" s="2"/>
      <c r="H43" s="2"/>
      <c r="I43" s="87"/>
      <c r="L43" s="167" t="s">
        <v>364</v>
      </c>
      <c r="M43" s="87"/>
      <c r="N43" s="87"/>
      <c r="O43" s="87"/>
      <c r="P43" s="4"/>
    </row>
    <row r="44" spans="1:16" ht="12.75" customHeight="1" x14ac:dyDescent="0.2">
      <c r="B44" s="36" t="s">
        <v>340</v>
      </c>
      <c r="C44" s="32" t="s">
        <v>339</v>
      </c>
      <c r="D44" s="33" t="s">
        <v>309</v>
      </c>
      <c r="E44" s="61">
        <f>E42+E43</f>
        <v>2344.0985185185186</v>
      </c>
      <c r="F44" s="61">
        <f t="shared" ref="E44:F44" si="0">F42+F43</f>
        <v>2312.1403703703704</v>
      </c>
      <c r="G44" s="2"/>
      <c r="H44" s="2"/>
      <c r="I44" s="87"/>
      <c r="L44" s="87"/>
      <c r="M44" s="87"/>
      <c r="N44" s="87"/>
      <c r="O44" s="87"/>
      <c r="P44" s="4"/>
    </row>
    <row r="45" spans="1:16" s="1" customFormat="1" ht="12.75" customHeight="1" x14ac:dyDescent="0.2">
      <c r="A45" s="2"/>
      <c r="B45" s="40"/>
      <c r="C45" s="41"/>
      <c r="D45" s="42"/>
      <c r="E45" s="59"/>
      <c r="F45" s="59"/>
      <c r="G45" s="2"/>
      <c r="H45" s="2"/>
      <c r="I45" s="88"/>
      <c r="L45" s="88"/>
      <c r="M45" s="88"/>
      <c r="N45" s="88"/>
      <c r="O45" s="88"/>
      <c r="P45" s="71"/>
    </row>
    <row r="46" spans="1:16" ht="21" customHeight="1" outlineLevel="1" x14ac:dyDescent="0.2">
      <c r="B46" s="67" t="s">
        <v>341</v>
      </c>
      <c r="C46" s="63" t="s">
        <v>342</v>
      </c>
      <c r="D46" s="63" t="s">
        <v>343</v>
      </c>
      <c r="E46" s="68">
        <v>6052.1</v>
      </c>
      <c r="F46" s="68">
        <v>5474.1</v>
      </c>
      <c r="G46" s="45"/>
      <c r="H46" s="45"/>
      <c r="I46" s="87"/>
      <c r="L46" s="87"/>
      <c r="M46" s="87"/>
      <c r="N46" s="87"/>
      <c r="O46" s="87"/>
      <c r="P46" s="4"/>
    </row>
    <row r="47" spans="1:16" ht="23.25" customHeight="1" outlineLevel="1" x14ac:dyDescent="0.2">
      <c r="B47" s="69" t="s">
        <v>344</v>
      </c>
      <c r="C47" s="69"/>
      <c r="D47" s="69" t="s">
        <v>66</v>
      </c>
      <c r="E47" s="70">
        <f t="shared" ref="E47:F47" si="1">(E46/E48-1)*100</f>
        <v>0.86833333333333762</v>
      </c>
      <c r="F47" s="70">
        <f t="shared" si="1"/>
        <v>0.44220183486238795</v>
      </c>
      <c r="G47" s="71"/>
      <c r="H47" s="71"/>
      <c r="I47" s="71"/>
      <c r="J47"/>
      <c r="K47" s="89"/>
      <c r="L47" s="89"/>
      <c r="M47" s="89"/>
      <c r="N47" s="90"/>
      <c r="O47" s="91"/>
      <c r="P47" s="4"/>
    </row>
    <row r="48" spans="1:16" x14ac:dyDescent="0.2">
      <c r="B48" s="72" t="s">
        <v>345</v>
      </c>
      <c r="C48" s="32" t="s">
        <v>346</v>
      </c>
      <c r="D48" s="33" t="s">
        <v>343</v>
      </c>
      <c r="E48" s="73">
        <v>6000</v>
      </c>
      <c r="F48" s="73">
        <v>5450</v>
      </c>
      <c r="G48" s="2"/>
      <c r="H48" s="2"/>
    </row>
    <row r="49" spans="2:8" x14ac:dyDescent="0.2">
      <c r="B49" s="74"/>
      <c r="C49" s="74"/>
      <c r="D49" s="74"/>
      <c r="E49" s="74"/>
      <c r="F49" s="74"/>
      <c r="G49" s="2"/>
      <c r="H49" s="2"/>
    </row>
    <row r="50" spans="2:8" x14ac:dyDescent="0.2">
      <c r="B50" s="75" t="s">
        <v>347</v>
      </c>
      <c r="C50" s="76"/>
      <c r="D50" s="76"/>
      <c r="E50" s="77"/>
      <c r="F50" s="77"/>
      <c r="G50" s="2"/>
      <c r="H50" s="2"/>
    </row>
    <row r="51" spans="2:8" x14ac:dyDescent="0.2">
      <c r="B51" s="78" t="s">
        <v>348</v>
      </c>
      <c r="C51" s="32" t="s">
        <v>349</v>
      </c>
      <c r="D51" s="33" t="s">
        <v>303</v>
      </c>
      <c r="E51" s="79">
        <v>1064</v>
      </c>
      <c r="F51" s="79">
        <v>1064</v>
      </c>
      <c r="G51" s="2"/>
      <c r="H51" s="2"/>
    </row>
    <row r="52" spans="2:8" x14ac:dyDescent="0.2">
      <c r="B52" s="78" t="s">
        <v>350</v>
      </c>
      <c r="C52" s="32" t="s">
        <v>351</v>
      </c>
      <c r="D52" s="33" t="s">
        <v>307</v>
      </c>
      <c r="E52" s="80">
        <v>25</v>
      </c>
      <c r="F52" s="80">
        <v>25</v>
      </c>
      <c r="G52" s="2"/>
      <c r="H52" s="2"/>
    </row>
    <row r="53" spans="2:8" x14ac:dyDescent="0.2">
      <c r="B53" s="81" t="s">
        <v>352</v>
      </c>
      <c r="C53" s="32" t="s">
        <v>353</v>
      </c>
      <c r="D53" s="33" t="s">
        <v>307</v>
      </c>
      <c r="E53" s="82">
        <f t="shared" ref="E53:F53" si="2">E54+E52</f>
        <v>35.07</v>
      </c>
      <c r="F53" s="82">
        <f>F54+F52</f>
        <v>31.75</v>
      </c>
      <c r="G53" s="2"/>
      <c r="H53" s="2"/>
    </row>
    <row r="54" spans="2:8" x14ac:dyDescent="0.2">
      <c r="B54" s="81" t="s">
        <v>354</v>
      </c>
      <c r="C54" s="32" t="s">
        <v>355</v>
      </c>
      <c r="D54" s="33" t="s">
        <v>307</v>
      </c>
      <c r="E54" s="82">
        <v>10.07</v>
      </c>
      <c r="F54" s="82">
        <v>6.75</v>
      </c>
      <c r="G54" s="2"/>
      <c r="H54" s="2"/>
    </row>
    <row r="55" spans="2:8" x14ac:dyDescent="0.2">
      <c r="G55" s="2"/>
      <c r="H55" s="2"/>
    </row>
    <row r="56" spans="2:8" x14ac:dyDescent="0.2">
      <c r="B56" s="75" t="s">
        <v>356</v>
      </c>
      <c r="C56" s="76"/>
      <c r="D56" s="76"/>
      <c r="E56" s="77"/>
      <c r="F56" s="77"/>
      <c r="G56" s="2"/>
      <c r="H56" s="2"/>
    </row>
    <row r="57" spans="2:8" x14ac:dyDescent="0.2">
      <c r="B57" s="78" t="s">
        <v>348</v>
      </c>
      <c r="C57" s="32" t="s">
        <v>357</v>
      </c>
      <c r="D57" s="33" t="s">
        <v>303</v>
      </c>
      <c r="E57" s="83">
        <v>0</v>
      </c>
      <c r="F57" s="83">
        <v>101.3</v>
      </c>
      <c r="G57" s="2"/>
      <c r="H57" s="2"/>
    </row>
    <row r="58" spans="2:8" x14ac:dyDescent="0.2">
      <c r="B58" s="78" t="s">
        <v>350</v>
      </c>
      <c r="C58" s="32" t="s">
        <v>358</v>
      </c>
      <c r="D58" s="33" t="s">
        <v>307</v>
      </c>
      <c r="E58" s="80" t="s">
        <v>209</v>
      </c>
      <c r="F58" s="80">
        <v>70</v>
      </c>
      <c r="G58" s="2"/>
      <c r="H58" s="2"/>
    </row>
    <row r="59" spans="2:8" x14ac:dyDescent="0.2">
      <c r="B59" s="81" t="s">
        <v>352</v>
      </c>
      <c r="C59" s="32" t="s">
        <v>359</v>
      </c>
      <c r="D59" s="33" t="s">
        <v>307</v>
      </c>
      <c r="E59" s="82" t="s">
        <v>209</v>
      </c>
      <c r="F59" s="82">
        <v>110</v>
      </c>
      <c r="G59" s="2"/>
      <c r="H59" s="2"/>
    </row>
    <row r="60" spans="2:8" x14ac:dyDescent="0.2">
      <c r="B60" s="81" t="s">
        <v>360</v>
      </c>
      <c r="C60" s="32" t="s">
        <v>361</v>
      </c>
      <c r="D60" s="33" t="s">
        <v>343</v>
      </c>
      <c r="E60" s="82" t="s">
        <v>209</v>
      </c>
      <c r="F60" s="84">
        <v>4730</v>
      </c>
      <c r="G60" s="2"/>
      <c r="H60" s="2"/>
    </row>
    <row r="61" spans="2:8" x14ac:dyDescent="0.2">
      <c r="G61" s="2"/>
      <c r="H61" s="2"/>
    </row>
    <row r="62" spans="2:8" x14ac:dyDescent="0.2">
      <c r="G62" s="2"/>
      <c r="H62" s="2"/>
    </row>
    <row r="63" spans="2:8" x14ac:dyDescent="0.2">
      <c r="G63" s="2"/>
      <c r="H63" s="2"/>
    </row>
    <row r="64" spans="2:8" x14ac:dyDescent="0.2">
      <c r="G64" s="85"/>
    </row>
    <row r="65" spans="7:7" x14ac:dyDescent="0.2">
      <c r="G65" s="85"/>
    </row>
    <row r="66" spans="7:7" x14ac:dyDescent="0.2">
      <c r="G66" s="85"/>
    </row>
    <row r="67" spans="7:7" x14ac:dyDescent="0.2">
      <c r="G67" s="85"/>
    </row>
    <row r="68" spans="7:7" x14ac:dyDescent="0.2">
      <c r="G68" s="85"/>
    </row>
    <row r="69" spans="7:7" x14ac:dyDescent="0.2">
      <c r="G69" s="85"/>
    </row>
    <row r="70" spans="7:7" x14ac:dyDescent="0.2">
      <c r="G70" s="85"/>
    </row>
    <row r="71" spans="7:7" x14ac:dyDescent="0.2">
      <c r="G71" s="85"/>
    </row>
    <row r="72" spans="7:7" x14ac:dyDescent="0.2">
      <c r="G72" s="85"/>
    </row>
    <row r="73" spans="7:7" x14ac:dyDescent="0.2">
      <c r="G73" s="85"/>
    </row>
    <row r="74" spans="7:7" x14ac:dyDescent="0.2">
      <c r="G74" s="85"/>
    </row>
    <row r="75" spans="7:7" x14ac:dyDescent="0.2">
      <c r="G75" s="85"/>
    </row>
    <row r="76" spans="7:7" x14ac:dyDescent="0.2">
      <c r="G76" s="85"/>
    </row>
    <row r="77" spans="7:7" x14ac:dyDescent="0.2">
      <c r="G77" s="85"/>
    </row>
  </sheetData>
  <sheetProtection formatCells="0" formatColumns="0" formatRows="0" insertColumns="0" insertRows="0"/>
  <protectedRanges>
    <protectedRange sqref="B1:H60" name="Oblast1" securityDescriptor=""/>
  </protectedRanges>
  <phoneticPr fontId="31" type="noConversion"/>
  <pageMargins left="0.70833333333333304" right="0.70833333333333304" top="0.78680555555555598" bottom="0.78680555555555598" header="0.31458333333333299" footer="0.31458333333333299"/>
  <pageSetup paperSize="9" orientation="portrait"/>
  <headerFooter>
    <oddHeader>&amp;L&amp;G&amp;CETP4-015-8656-1&amp;R&amp;D</oddHeader>
    <oddFooter>&amp;LPrepared by: Ing. Petr Kracík &amp;CApproved by: Ing. Pavel Nešpor&amp;R1/1</oddFooter>
  </headerFooter>
  <legacyDrawingHF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Vt</vt:lpstr>
      <vt:lpstr>P</vt:lpstr>
      <vt:lpstr>F</vt:lpstr>
      <vt:lpstr>List1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minar</dc:creator>
  <cp:lastModifiedBy>田波</cp:lastModifiedBy>
  <cp:lastPrinted>2017-08-21T10:20:00Z</cp:lastPrinted>
  <dcterms:created xsi:type="dcterms:W3CDTF">1996-10-14T23:33:00Z</dcterms:created>
  <dcterms:modified xsi:type="dcterms:W3CDTF">2017-08-29T07:21:05Z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2052-10.1.0.6749</vt:lpwstr>
  </property>
</Properties>
</file>